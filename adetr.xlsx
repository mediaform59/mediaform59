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VERTEGAT\Desktop\"/>
    </mc:Choice>
  </mc:AlternateContent>
  <xr:revisionPtr revIDLastSave="0" documentId="8_{74B9B93B-F11A-451D-8CD7-41E00CA99611}" xr6:coauthVersionLast="47" xr6:coauthVersionMax="47" xr10:uidLastSave="{00000000-0000-0000-0000-000000000000}"/>
  <bookViews>
    <workbookView xWindow="-110" yWindow="-110" windowWidth="19420" windowHeight="10300"/>
  </bookViews>
  <sheets>
    <sheet name="Feuil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31" i="1" l="1"/>
  <c r="F131" i="1"/>
  <c r="G127" i="1"/>
  <c r="F127" i="1"/>
  <c r="G125" i="1"/>
  <c r="F125" i="1"/>
  <c r="E122" i="1"/>
  <c r="G122" i="1" s="1"/>
  <c r="G113" i="1"/>
  <c r="F113" i="1"/>
  <c r="E105" i="1"/>
  <c r="E104" i="1"/>
  <c r="E103" i="1"/>
  <c r="G99" i="1"/>
  <c r="F99" i="1"/>
  <c r="E99" i="1"/>
  <c r="E70" i="1"/>
  <c r="G70" i="1" s="1"/>
  <c r="E51" i="1"/>
  <c r="G51" i="1" s="1"/>
  <c r="E47" i="1"/>
  <c r="G47" i="1" s="1"/>
  <c r="G40" i="1"/>
  <c r="F40" i="1"/>
  <c r="E37" i="1"/>
  <c r="G37" i="1" s="1"/>
  <c r="G36" i="1"/>
  <c r="F36" i="1"/>
  <c r="G28" i="1"/>
  <c r="F28" i="1"/>
  <c r="E28" i="1"/>
  <c r="E27" i="1"/>
  <c r="E26" i="1"/>
  <c r="G26" i="1" s="1"/>
  <c r="E23" i="1"/>
  <c r="G23" i="1" s="1"/>
  <c r="E20" i="1"/>
  <c r="G20" i="1" s="1"/>
  <c r="G19" i="1"/>
  <c r="F19" i="1"/>
  <c r="E19" i="1"/>
  <c r="E65" i="1" s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E8" i="1"/>
  <c r="F8" i="1" s="1"/>
  <c r="F7" i="1"/>
  <c r="F6" i="1"/>
  <c r="G5" i="1"/>
  <c r="F5" i="1"/>
  <c r="F4" i="1"/>
  <c r="G3" i="1"/>
  <c r="F3" i="1"/>
  <c r="F65" i="1" l="1"/>
  <c r="E67" i="1"/>
  <c r="E128" i="1"/>
  <c r="E66" i="1"/>
  <c r="E39" i="1"/>
  <c r="E21" i="1"/>
  <c r="F27" i="1"/>
  <c r="E31" i="1"/>
  <c r="E25" i="1"/>
  <c r="G27" i="1"/>
  <c r="F51" i="1"/>
  <c r="E120" i="1"/>
  <c r="F23" i="1"/>
  <c r="F37" i="1"/>
  <c r="C80" i="1"/>
  <c r="F26" i="1"/>
  <c r="F70" i="1"/>
  <c r="F122" i="1"/>
  <c r="F20" i="1"/>
  <c r="C87" i="1" s="1"/>
  <c r="E24" i="1"/>
  <c r="E35" i="1"/>
  <c r="F47" i="1"/>
  <c r="C53" i="1"/>
  <c r="F35" i="1" l="1"/>
  <c r="E29" i="1"/>
  <c r="E43" i="1"/>
  <c r="G35" i="1"/>
  <c r="E44" i="1"/>
  <c r="G21" i="1"/>
  <c r="F21" i="1"/>
  <c r="F24" i="1"/>
  <c r="G24" i="1"/>
  <c r="G120" i="1"/>
  <c r="F120" i="1"/>
  <c r="F39" i="1"/>
  <c r="E41" i="1"/>
  <c r="G39" i="1"/>
  <c r="G66" i="1"/>
  <c r="F66" i="1"/>
  <c r="E126" i="1"/>
  <c r="F128" i="1"/>
  <c r="G128" i="1"/>
  <c r="F25" i="1"/>
  <c r="G25" i="1"/>
  <c r="E42" i="1"/>
  <c r="E46" i="1"/>
  <c r="G31" i="1"/>
  <c r="F31" i="1"/>
  <c r="F67" i="1"/>
  <c r="G67" i="1"/>
  <c r="E69" i="1"/>
  <c r="E68" i="1" l="1"/>
  <c r="G44" i="1"/>
  <c r="E92" i="1"/>
  <c r="F44" i="1"/>
  <c r="E57" i="1"/>
  <c r="G43" i="1"/>
  <c r="F43" i="1"/>
  <c r="E56" i="1"/>
  <c r="G46" i="1"/>
  <c r="F46" i="1"/>
  <c r="E124" i="1"/>
  <c r="E116" i="1"/>
  <c r="F42" i="1"/>
  <c r="E115" i="1"/>
  <c r="E135" i="1"/>
  <c r="E52" i="1"/>
  <c r="E91" i="1"/>
  <c r="G42" i="1"/>
  <c r="F41" i="1"/>
  <c r="G41" i="1"/>
  <c r="E33" i="1"/>
  <c r="G126" i="1"/>
  <c r="F126" i="1"/>
  <c r="E132" i="1"/>
  <c r="G29" i="1"/>
  <c r="F29" i="1"/>
  <c r="E110" i="1"/>
  <c r="F69" i="1"/>
  <c r="G69" i="1"/>
  <c r="E85" i="1"/>
  <c r="F68" i="1" l="1"/>
  <c r="E90" i="1"/>
  <c r="G68" i="1"/>
  <c r="F52" i="1"/>
  <c r="G52" i="1"/>
  <c r="G56" i="1"/>
  <c r="E61" i="1"/>
  <c r="C60" i="1"/>
  <c r="E59" i="1"/>
  <c r="E63" i="1" s="1"/>
  <c r="F56" i="1"/>
  <c r="E45" i="1"/>
  <c r="G33" i="1"/>
  <c r="F33" i="1"/>
  <c r="G115" i="1"/>
  <c r="F115" i="1"/>
  <c r="G135" i="1"/>
  <c r="E136" i="1"/>
  <c r="F135" i="1"/>
  <c r="E58" i="1"/>
  <c r="G57" i="1"/>
  <c r="F57" i="1"/>
  <c r="F110" i="1"/>
  <c r="G110" i="1"/>
  <c r="E77" i="1"/>
  <c r="E82" i="1"/>
  <c r="G116" i="1"/>
  <c r="F116" i="1"/>
  <c r="E76" i="1"/>
  <c r="E117" i="1"/>
  <c r="E130" i="1" s="1"/>
  <c r="E71" i="1"/>
  <c r="E78" i="1"/>
  <c r="E72" i="1"/>
  <c r="G124" i="1"/>
  <c r="F124" i="1"/>
  <c r="E93" i="1"/>
  <c r="G92" i="1"/>
  <c r="F92" i="1"/>
  <c r="E111" i="1"/>
  <c r="G132" i="1"/>
  <c r="F132" i="1"/>
  <c r="G91" i="1"/>
  <c r="E101" i="1"/>
  <c r="F91" i="1"/>
  <c r="E107" i="1"/>
  <c r="G63" i="1" l="1"/>
  <c r="F63" i="1"/>
  <c r="F111" i="1"/>
  <c r="G111" i="1"/>
  <c r="E73" i="1"/>
  <c r="G71" i="1"/>
  <c r="F71" i="1"/>
  <c r="G130" i="1"/>
  <c r="F130" i="1"/>
  <c r="G107" i="1"/>
  <c r="F107" i="1"/>
  <c r="E55" i="1"/>
  <c r="F55" i="1" s="1"/>
  <c r="G58" i="1"/>
  <c r="F58" i="1"/>
  <c r="G45" i="1"/>
  <c r="F45" i="1"/>
  <c r="F61" i="1"/>
  <c r="G61" i="1"/>
  <c r="G101" i="1"/>
  <c r="F101" i="1"/>
  <c r="G82" i="1"/>
  <c r="F82" i="1"/>
  <c r="C83" i="1" s="1"/>
  <c r="E112" i="1"/>
  <c r="E88" i="1"/>
  <c r="E94" i="1"/>
  <c r="G93" i="1"/>
  <c r="F93" i="1"/>
  <c r="F72" i="1"/>
  <c r="E74" i="1"/>
  <c r="G72" i="1"/>
  <c r="G77" i="1"/>
  <c r="F77" i="1"/>
  <c r="G136" i="1"/>
  <c r="F136" i="1"/>
  <c r="F90" i="1"/>
  <c r="E106" i="1"/>
  <c r="E100" i="1"/>
  <c r="G90" i="1"/>
  <c r="C81" i="1"/>
  <c r="E86" i="1"/>
  <c r="G78" i="1"/>
  <c r="F78" i="1"/>
  <c r="G59" i="1"/>
  <c r="F59" i="1"/>
  <c r="C63" i="1" s="1"/>
  <c r="G73" i="1" l="1"/>
  <c r="F73" i="1"/>
  <c r="E119" i="1"/>
  <c r="G112" i="1"/>
  <c r="F112" i="1"/>
  <c r="E114" i="1"/>
  <c r="E133" i="1"/>
  <c r="G74" i="1"/>
  <c r="F74" i="1"/>
  <c r="F86" i="1"/>
  <c r="G86" i="1"/>
  <c r="F100" i="1"/>
  <c r="G100" i="1"/>
  <c r="G106" i="1"/>
  <c r="F106" i="1"/>
  <c r="F94" i="1"/>
  <c r="G94" i="1"/>
  <c r="E95" i="1"/>
  <c r="C62" i="1"/>
  <c r="G95" i="1" l="1"/>
  <c r="F95" i="1"/>
  <c r="E96" i="1"/>
  <c r="E134" i="1"/>
  <c r="G133" i="1"/>
  <c r="F133" i="1"/>
  <c r="G114" i="1"/>
  <c r="F114" i="1"/>
  <c r="E118" i="1"/>
  <c r="F119" i="1"/>
  <c r="G119" i="1"/>
  <c r="G118" i="1" l="1"/>
  <c r="F118" i="1"/>
  <c r="G134" i="1"/>
  <c r="F134" i="1"/>
  <c r="G96" i="1"/>
  <c r="F96" i="1"/>
  <c r="E97" i="1"/>
  <c r="E102" i="1" l="1"/>
  <c r="F97" i="1"/>
  <c r="E108" i="1"/>
  <c r="G97" i="1"/>
  <c r="G102" i="1" l="1"/>
  <c r="F102" i="1"/>
  <c r="G108" i="1"/>
  <c r="F108" i="1"/>
</calcChain>
</file>

<file path=xl/comments1.xml><?xml version="1.0" encoding="utf-8"?>
<comments xmlns="http://schemas.openxmlformats.org/spreadsheetml/2006/main">
  <authors>
    <author>REVERTEGAT</author>
  </authors>
  <commentList>
    <comment ref="B66" authorId="0" shapeId="0">
      <text>
        <r>
          <rPr>
            <b/>
            <sz val="9"/>
            <color indexed="81"/>
            <rFont val="Tahoma"/>
            <family val="2"/>
          </rPr>
          <t>Approche petit-signal / transconductance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4" authorId="0" shapeId="0">
      <text>
        <r>
          <rPr>
            <b/>
            <sz val="9"/>
            <color indexed="81"/>
            <rFont val="Tahoma"/>
            <family val="2"/>
          </rPr>
          <t>Dans le modèle petits signaux du BJT, une résistance située dans la base apparaît du côté émetteur divisée approximativement par : Beta + 1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6" authorId="0" shapeId="0">
      <text>
        <r>
          <rPr>
            <b/>
            <sz val="9"/>
            <color indexed="81"/>
            <rFont val="Tahoma"/>
            <family val="2"/>
          </rPr>
          <t>Pour aller de C3 vers la résistance interne du transistor, il faut donc traverser RED.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4" authorId="0" shapeId="0">
      <text>
        <r>
          <rPr>
            <b/>
            <sz val="9"/>
            <color indexed="81"/>
            <rFont val="Tahoma"/>
            <family val="2"/>
          </rPr>
          <t>Equation de la droite de charge : 
IC = (VCC-VCE)/(RC+RE)</t>
        </r>
      </text>
    </comment>
  </commentList>
</comments>
</file>

<file path=xl/sharedStrings.xml><?xml version="1.0" encoding="utf-8"?>
<sst xmlns="http://schemas.openxmlformats.org/spreadsheetml/2006/main" count="307" uniqueCount="281">
  <si>
    <t>Nom de la variable</t>
  </si>
  <si>
    <t>A quoi elle sert</t>
  </si>
  <si>
    <t>Libelle de la formule</t>
  </si>
  <si>
    <t>Formule / Valeur</t>
  </si>
  <si>
    <t>H Y P O T H E S E S  D E  D E P A R T</t>
  </si>
  <si>
    <t>VCC</t>
  </si>
  <si>
    <t>Tension d'alimentation</t>
  </si>
  <si>
    <t>Beta</t>
  </si>
  <si>
    <t>Gain en courant du BJT</t>
  </si>
  <si>
    <t>IC</t>
  </si>
  <si>
    <t>Courant de collecteur au repos</t>
  </si>
  <si>
    <t>Pve</t>
  </si>
  <si>
    <t>Pourcentage VE</t>
  </si>
  <si>
    <t>%</t>
  </si>
  <si>
    <t>Pvce</t>
  </si>
  <si>
    <t>Pourcentage VCE</t>
  </si>
  <si>
    <t>Pvrc</t>
  </si>
  <si>
    <t>Pourcentage Vrc</t>
  </si>
  <si>
    <t>PIP</t>
  </si>
  <si>
    <t>Pourcentage IP</t>
  </si>
  <si>
    <t>VT</t>
  </si>
  <si>
    <t>Tension thermique</t>
  </si>
  <si>
    <t>Vbe</t>
  </si>
  <si>
    <t>Tension de seuil Base-Emetteur</t>
  </si>
  <si>
    <t>RL</t>
  </si>
  <si>
    <t>Charge RF externe en syntaxe 50 Ohms</t>
  </si>
  <si>
    <t>Rs</t>
  </si>
  <si>
    <t>Resistance interne de la source RF</t>
  </si>
  <si>
    <t>VA</t>
  </si>
  <si>
    <t>Tension de early</t>
  </si>
  <si>
    <t>Freq min</t>
  </si>
  <si>
    <t>Frequence min de réception</t>
  </si>
  <si>
    <t>Freq max</t>
  </si>
  <si>
    <t>Frequence max de réception</t>
  </si>
  <si>
    <t>Vcesat</t>
  </si>
  <si>
    <t>Tension saturation C-E du BJT</t>
  </si>
  <si>
    <t>Datasheet</t>
  </si>
  <si>
    <t>A N A L Y S E   S T A T I Q U E</t>
  </si>
  <si>
    <t>IB</t>
  </si>
  <si>
    <t>Courant de base au repos</t>
  </si>
  <si>
    <t>IC/ Beta</t>
  </si>
  <si>
    <t>IE</t>
  </si>
  <si>
    <t>Courant emetteur</t>
  </si>
  <si>
    <t>Ic + Ib</t>
  </si>
  <si>
    <t>IR1</t>
  </si>
  <si>
    <t>Courant dans R1</t>
  </si>
  <si>
    <t>IP+IB</t>
  </si>
  <si>
    <t>IR2</t>
  </si>
  <si>
    <t>Courant dans R2</t>
  </si>
  <si>
    <t>IP</t>
  </si>
  <si>
    <t>IVCC</t>
  </si>
  <si>
    <t>Courant dans VCC</t>
  </si>
  <si>
    <t>IC+IP+IB</t>
  </si>
  <si>
    <t>Courant de pont (Base)</t>
  </si>
  <si>
    <t>PIP * Ic / Beta</t>
  </si>
  <si>
    <t>Vre</t>
  </si>
  <si>
    <t>Tension sur RE pour la stabilite</t>
  </si>
  <si>
    <t>VCC * Pve</t>
  </si>
  <si>
    <t>Vce</t>
  </si>
  <si>
    <t>Tension de repos transistor</t>
  </si>
  <si>
    <t>VCC * Pvce</t>
  </si>
  <si>
    <t>Vcb</t>
  </si>
  <si>
    <t>Tension entre collecteur et base</t>
  </si>
  <si>
    <t>VC-VB</t>
  </si>
  <si>
    <t>Vrc</t>
  </si>
  <si>
    <t>Tension aux bornes de Rc</t>
  </si>
  <si>
    <t>VCC * Pvrc</t>
  </si>
  <si>
    <t>Vx</t>
  </si>
  <si>
    <t>Tension entre les 2 R de RE</t>
  </si>
  <si>
    <t>RE*IE</t>
  </si>
  <si>
    <t>Vb</t>
  </si>
  <si>
    <t>Tension continue sur la base en charge</t>
  </si>
  <si>
    <t>Vre + Vbe</t>
  </si>
  <si>
    <t>Vc</t>
  </si>
  <si>
    <t>Tension continue sur le collecteur</t>
  </si>
  <si>
    <t>VCC-Vrc</t>
  </si>
  <si>
    <t>Ve</t>
  </si>
  <si>
    <t>Tension continue sur l'émetteur</t>
  </si>
  <si>
    <t>REG</t>
  </si>
  <si>
    <t>Resistance globale emetteur (DC)</t>
  </si>
  <si>
    <t>Vre / IE</t>
  </si>
  <si>
    <t>RED</t>
  </si>
  <si>
    <t>Resistance retroaction emetteur Non Découp</t>
  </si>
  <si>
    <t>RE</t>
  </si>
  <si>
    <t>Resistance emetteur Découplée</t>
  </si>
  <si>
    <t>REG-RED</t>
  </si>
  <si>
    <t>Rc</t>
  </si>
  <si>
    <t>Resistance de collecteur</t>
  </si>
  <si>
    <t>Vrc / Ic</t>
  </si>
  <si>
    <t>R2</t>
  </si>
  <si>
    <t>Resistance basse du pont (Base)</t>
  </si>
  <si>
    <t>Vb / iP</t>
  </si>
  <si>
    <t>R1</t>
  </si>
  <si>
    <t>Resistance haute du pont (Base)</t>
  </si>
  <si>
    <t>(Vcc - Vb) / (iP + Ib)</t>
  </si>
  <si>
    <t>IRE</t>
  </si>
  <si>
    <t>Courant dans la Résistance RC</t>
  </si>
  <si>
    <t>Vx/RE</t>
  </si>
  <si>
    <t>IRC</t>
  </si>
  <si>
    <t>Courant dans la Résistance RE</t>
  </si>
  <si>
    <t>VRC/RC</t>
  </si>
  <si>
    <t>Igen</t>
  </si>
  <si>
    <t>Vgen/Rs</t>
  </si>
  <si>
    <t>La Droite de Charge Statique (DC)</t>
  </si>
  <si>
    <r>
      <t xml:space="preserve">Relation entre </t>
    </r>
    <r>
      <rPr>
        <sz val="11"/>
        <color theme="1"/>
        <rFont val="Arial"/>
        <family val="2"/>
      </rPr>
      <t>IC</t>
    </r>
    <r>
      <rPr>
        <sz val="11"/>
        <color theme="1"/>
        <rFont val="Calibri"/>
        <family val="2"/>
        <scheme val="minor"/>
      </rPr>
      <t xml:space="preserve"> et </t>
    </r>
    <r>
      <rPr>
        <sz val="11"/>
        <color theme="1"/>
        <rFont val="Arial"/>
        <family val="2"/>
      </rPr>
      <t>VCE</t>
    </r>
    <r>
      <rPr>
        <sz val="11"/>
        <color theme="1"/>
        <rFont val="Calibri"/>
        <family val="2"/>
        <scheme val="minor"/>
      </rPr>
      <t xml:space="preserve"> en régime continu (au repos)</t>
    </r>
  </si>
  <si>
    <t>VCE = VCC - IC * (Rc + REG)</t>
  </si>
  <si>
    <t>Point de blocage IC=0</t>
  </si>
  <si>
    <t>VCE=VCC</t>
  </si>
  <si>
    <t>Point de saturation VCE=0</t>
  </si>
  <si>
    <t>IC=(VCC-VCEsat)/(Rc+REG)</t>
  </si>
  <si>
    <t>Droite d'Attaque (Base-Émetteur) Statique Vth = VBE + [ Rb + (beta + 1)* RE ]* Ib</t>
  </si>
  <si>
    <t>Pente_dr_Attaq_Sta</t>
  </si>
  <si>
    <t>Pente de la droite</t>
  </si>
  <si>
    <t>1/Req</t>
  </si>
  <si>
    <r>
      <rPr>
        <sz val="11"/>
        <color theme="1"/>
        <rFont val="Calibri"/>
        <family val="2"/>
      </rPr>
      <t>Ω</t>
    </r>
    <r>
      <rPr>
        <vertAlign val="superscript"/>
        <sz val="11"/>
        <color theme="1"/>
        <rFont val="Calibri"/>
        <family val="2"/>
      </rPr>
      <t>−1</t>
    </r>
  </si>
  <si>
    <t>Vth_base</t>
  </si>
  <si>
    <t>Tension de Thévenin à vide</t>
  </si>
  <si>
    <t>VCC*(R2/R1+R2)</t>
  </si>
  <si>
    <t>Rth</t>
  </si>
  <si>
    <t>Résistance de thévenin</t>
  </si>
  <si>
    <t>R1\\R2</t>
  </si>
  <si>
    <t xml:space="preserve">Req </t>
  </si>
  <si>
    <t>Rth + (beta + 1)* REG</t>
  </si>
  <si>
    <t>Vth-(Req*Ib)</t>
  </si>
  <si>
    <t>Point 1</t>
  </si>
  <si>
    <t>Ib_sat_sta</t>
  </si>
  <si>
    <t>Vth/Req</t>
  </si>
  <si>
    <t>Point 2</t>
  </si>
  <si>
    <t>IB0_stat</t>
  </si>
  <si>
    <t>(Vth-Vbe)/Req</t>
  </si>
  <si>
    <t>A N A L Y S E   D Y N A M I Q U E</t>
  </si>
  <si>
    <t>gm</t>
  </si>
  <si>
    <t>Transconductance petits signaux</t>
  </si>
  <si>
    <t>Ic / VT</t>
  </si>
  <si>
    <t>re_int</t>
  </si>
  <si>
    <t>résistance dynamique interne d’émetteur</t>
  </si>
  <si>
    <t>1 / gm</t>
  </si>
  <si>
    <t>rpi</t>
  </si>
  <si>
    <t>Resistance entree Base-Emetteur petit signal</t>
  </si>
  <si>
    <t>Beta / gm</t>
  </si>
  <si>
    <t>Rb</t>
  </si>
  <si>
    <t>pont de polarisation équivalent en alternatif</t>
  </si>
  <si>
    <t>R1//R2</t>
  </si>
  <si>
    <t>RinBJT</t>
  </si>
  <si>
    <t>rpi +(β+1)*RED</t>
  </si>
  <si>
    <t>ro</t>
  </si>
  <si>
    <t>Resistance de sortie (Early)</t>
  </si>
  <si>
    <t>(VA + Vce) / Ic</t>
  </si>
  <si>
    <t>VCE_pt_bloc_AC</t>
  </si>
  <si>
    <t>Point de blocage théorique AC (Ic = 0)</t>
  </si>
  <si>
    <t>VCE0 + (IC0 * Rcollecteur)</t>
  </si>
  <si>
    <t>Vce_max_AC</t>
  </si>
  <si>
    <t>Excursion max crête sans écrêtage</t>
  </si>
  <si>
    <t>MIN(IC0 * Rcollecteur ; VCE0 - Vcesat)</t>
  </si>
  <si>
    <t>Vce_PP_max</t>
  </si>
  <si>
    <t>Excursion crête-à-crête max sans distorsion</t>
  </si>
  <si>
    <t>2 * Min(Vce_max_AC;Vce_pt_bloc_ac)</t>
  </si>
  <si>
    <t>V_gen_max</t>
  </si>
  <si>
    <t>Tension du générateur maxi</t>
  </si>
  <si>
    <t>Vce_max_AC/AV_BC</t>
  </si>
  <si>
    <t>La Droite de Charge Dynamique (AC)</t>
  </si>
  <si>
    <t>-1/Rcollecteur</t>
  </si>
  <si>
    <t>ic_max_sans_ecrettage</t>
  </si>
  <si>
    <t>Excursion maximale de courant alternatif crête</t>
  </si>
  <si>
    <t>MIN(IC0 ; VCE0 / Rcollecteur)</t>
  </si>
  <si>
    <t>vce_max_ac</t>
  </si>
  <si>
    <t>Tension alternative maximale de crête sans écrêtage</t>
  </si>
  <si>
    <t>VCEO + (ICo*Rcollecteur)</t>
  </si>
  <si>
    <r>
      <t xml:space="preserve">Point de Blocage Dynamique </t>
    </r>
    <r>
      <rPr>
        <sz val="11"/>
        <color theme="1"/>
        <rFont val="Arial"/>
        <family val="2"/>
      </rPr>
      <t>IC = 0</t>
    </r>
  </si>
  <si>
    <t>IC_sat_dyn_th</t>
  </si>
  <si>
    <t>Courant de saturation fictif AC</t>
  </si>
  <si>
    <t>Ico+(VCEo/Rcollecteur)</t>
  </si>
  <si>
    <t xml:space="preserve">Point 3 </t>
  </si>
  <si>
    <t>La Droite d'Attaque (Base-Émetteur) en dynamique</t>
  </si>
  <si>
    <t>L'impédance d'entrée du transistor est</t>
  </si>
  <si>
    <t>vbe_max</t>
  </si>
  <si>
    <r>
      <t>Excursion en tension d'entrée admissible V</t>
    </r>
    <r>
      <rPr>
        <sz val="11"/>
        <color theme="1"/>
        <rFont val="Arial"/>
        <family val="2"/>
      </rPr>
      <t>be_max (gain est&lt;0)</t>
    </r>
  </si>
  <si>
    <t>vce_max / Av_BC</t>
  </si>
  <si>
    <t>1/rs//rb</t>
  </si>
  <si>
    <t>C A L C U L S  D E S  C O N D E N S A T E U R S</t>
  </si>
  <si>
    <t>ZC1</t>
  </si>
  <si>
    <t>Z vue par C1 (Rb // RinBJT) + Rs</t>
  </si>
  <si>
    <t>((Rb*RinBJT)/(Rb+RinBJT))+Rs</t>
  </si>
  <si>
    <t>ZC2</t>
  </si>
  <si>
    <t>Z vue par C2 (RC//Ro) + RL</t>
  </si>
  <si>
    <t>((RC * Ro ) / (RC + Ro)) + RL</t>
  </si>
  <si>
    <t>Rb_source</t>
  </si>
  <si>
    <t>Résistance du réseau de base (R1\\R2)</t>
  </si>
  <si>
    <t>(R1*R2)/(R1+R2)</t>
  </si>
  <si>
    <t>Avec la Rs (Rb_source\\Rs)</t>
  </si>
  <si>
    <t>(Rb_source * Rs)/(Rb_source + Rs)</t>
  </si>
  <si>
    <t>Rb_source_emetteur</t>
  </si>
  <si>
    <t>Résistance ramenée de la base vers l'émetteur</t>
  </si>
  <si>
    <t>(Rb_source / (Beta + 1)</t>
  </si>
  <si>
    <t>re_emetteur</t>
  </si>
  <si>
    <t>re_int + Rb_source</t>
  </si>
  <si>
    <t>Ne pas oublier RED</t>
  </si>
  <si>
    <t>re_emetteur + RED</t>
  </si>
  <si>
    <t>ZC3</t>
  </si>
  <si>
    <t>Résistance équivalente vue par C3 (RE//re_emetteur)</t>
  </si>
  <si>
    <t>(RE*re_emetteur)/(RE+re_emetteur)</t>
  </si>
  <si>
    <t>Pfix_Fc</t>
  </si>
  <si>
    <t>Pourentage pour fixation coupure basse</t>
  </si>
  <si>
    <t>Fix_Fc</t>
  </si>
  <si>
    <t>Fixation de la fréquence de coupure</t>
  </si>
  <si>
    <t>C1</t>
  </si>
  <si>
    <t>Condensateur C1</t>
  </si>
  <si>
    <t>1/(2*pi()*Fix_FC*ZC1)</t>
  </si>
  <si>
    <t>C2</t>
  </si>
  <si>
    <t>Condensateur C2</t>
  </si>
  <si>
    <t>1/(2*pi()*Fix_FC*ZC2)</t>
  </si>
  <si>
    <t>C3</t>
  </si>
  <si>
    <t>Condensateur C3</t>
  </si>
  <si>
    <t>1/(2*pi()*Fix_FC*ZC3)</t>
  </si>
  <si>
    <t>C1 normalisé</t>
  </si>
  <si>
    <t>nF</t>
  </si>
  <si>
    <t>FCC1</t>
  </si>
  <si>
    <t>Fréquence de coupure pour c1</t>
  </si>
  <si>
    <t>1/(2*pi()*C1*ZC1)</t>
  </si>
  <si>
    <t>FCC2</t>
  </si>
  <si>
    <t>Fréquence de coupure pour c2</t>
  </si>
  <si>
    <t>1/(2*pi()*C2*ZC2)</t>
  </si>
  <si>
    <t>FCC3</t>
  </si>
  <si>
    <t>Fréquence de coupure pour c3</t>
  </si>
  <si>
    <t>1/(2*pi()*C3*ZC3)</t>
  </si>
  <si>
    <t>C A L C U L S  E N  R E G I M E  D Y N A M I Q U E</t>
  </si>
  <si>
    <t xml:space="preserve">RinBJT </t>
  </si>
  <si>
    <t>rpi + (Beta + 1) × RED</t>
  </si>
  <si>
    <t>Rin (Zin)</t>
  </si>
  <si>
    <t>Rb // RinBJT</t>
  </si>
  <si>
    <t>Vgen</t>
  </si>
  <si>
    <t xml:space="preserve">Vb </t>
  </si>
  <si>
    <t>VGen × Rin / (RGen + Rin)</t>
  </si>
  <si>
    <t>Zout_dyn</t>
  </si>
  <si>
    <t>Impedance de sortie alternative</t>
  </si>
  <si>
    <t>1 / ((1/Rc) + (1/ro))</t>
  </si>
  <si>
    <t>Rcollecteur</t>
  </si>
  <si>
    <t>RC//RL</t>
  </si>
  <si>
    <t>Av_BC</t>
  </si>
  <si>
    <t>Gain</t>
  </si>
  <si>
    <t>(-gm * Rcollecteur) / (1 + gm × RED × (1 + 1/Beta))</t>
  </si>
  <si>
    <t>Vsortie</t>
  </si>
  <si>
    <t>Vb × Av_BC</t>
  </si>
  <si>
    <t>VGen × Rin/(RGen+Rin) × Av_BC</t>
  </si>
  <si>
    <t>Palim</t>
  </si>
  <si>
    <t>Puissance de l'alimentation</t>
  </si>
  <si>
    <t>VCC*(IC+IR1)</t>
  </si>
  <si>
    <t>A U T R E S   C A L C U L S</t>
  </si>
  <si>
    <t>P_diss</t>
  </si>
  <si>
    <t>Puissance dissipee par le BJT</t>
  </si>
  <si>
    <t>Vce * Ic</t>
  </si>
  <si>
    <t>Icsat</t>
  </si>
  <si>
    <t>Courant maximal de saturation</t>
  </si>
  <si>
    <t>(Vcc - Vcesat) / (Rc + REG)</t>
  </si>
  <si>
    <t>Cmu</t>
  </si>
  <si>
    <t>Capacite Base-Collecteur (2N5109)</t>
  </si>
  <si>
    <t>Sur datasheet</t>
  </si>
  <si>
    <t>Cpi</t>
  </si>
  <si>
    <t>Capacite Base-Emetteur</t>
  </si>
  <si>
    <t>fT</t>
  </si>
  <si>
    <t>Frequence de transition a 10mA</t>
  </si>
  <si>
    <t>Cpi+Cu</t>
  </si>
  <si>
    <t>CM</t>
  </si>
  <si>
    <t>Capacite effet Miller a l'entree</t>
  </si>
  <si>
    <t>Cmu * (1 - Av_charge)</t>
  </si>
  <si>
    <t>CMN</t>
  </si>
  <si>
    <t>Capacite effet Miller normalisée</t>
  </si>
  <si>
    <t>Cin_total</t>
  </si>
  <si>
    <t>Capacite totale vue a l'entree</t>
  </si>
  <si>
    <t>Cpi + CM</t>
  </si>
  <si>
    <t>R_source_équivalente</t>
  </si>
  <si>
    <t xml:space="preserve"> (Rs * Rin) / (Rs + Rin) </t>
  </si>
  <si>
    <t>FH_Coupure</t>
  </si>
  <si>
    <t>FH_Coupure (Fréquence de coupure haute théorique)</t>
  </si>
  <si>
    <t>1 / (2 * pi * R_source_équivalente * Cin_total)</t>
  </si>
  <si>
    <t>Rc_total</t>
  </si>
  <si>
    <t>Resistance AC totale collecteur</t>
  </si>
  <si>
    <t>1 / ((1/Rc) + (1/ro) + (1/Rl))</t>
  </si>
  <si>
    <t>P_RF_max</t>
  </si>
  <si>
    <t>Puissance RF maximale sans déformation, P1dB théorique</t>
  </si>
  <si>
    <t>(IC * RC_total)^2 / (2 * 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</si>
</sst>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7" formatCode="0.000"/>
    <numFmt numFmtId="168" formatCode="0.0000"/>
    <numFmt numFmtId="169" formatCode="0.0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0"/>
      <color theme="1"/>
      <name val="Arial Unicode MS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2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9" fontId="0" fillId="0" borderId="0" xfId="1" applyFont="1"/>
    <xf numFmtId="9" fontId="4" fillId="0" borderId="0" xfId="0" applyNumberFormat="1" applyFont="1"/>
    <xf numFmtId="2" fontId="0" fillId="0" borderId="0" xfId="1" applyNumberFormat="1" applyFont="1"/>
    <xf numFmtId="167" fontId="0" fillId="0" borderId="0" xfId="1" applyNumberFormat="1" applyFont="1"/>
    <xf numFmtId="2" fontId="4" fillId="0" borderId="0" xfId="0" applyNumberFormat="1" applyFont="1"/>
    <xf numFmtId="168" fontId="0" fillId="0" borderId="0" xfId="0" applyNumberFormat="1"/>
    <xf numFmtId="168" fontId="4" fillId="0" borderId="0" xfId="0" applyNumberFormat="1" applyFont="1"/>
    <xf numFmtId="0" fontId="0" fillId="0" borderId="0" xfId="0" quotePrefix="1"/>
    <xf numFmtId="0" fontId="6" fillId="0" borderId="0" xfId="0" applyFont="1" applyAlignment="1">
      <alignment horizontal="center"/>
    </xf>
    <xf numFmtId="169" fontId="0" fillId="0" borderId="0" xfId="0" applyNumberFormat="1"/>
    <xf numFmtId="2" fontId="0" fillId="0" borderId="0" xfId="0" applyNumberFormat="1"/>
    <xf numFmtId="9" fontId="0" fillId="0" borderId="0" xfId="0" applyNumberFormat="1"/>
    <xf numFmtId="11" fontId="0" fillId="0" borderId="0" xfId="0" applyNumberFormat="1"/>
    <xf numFmtId="167" fontId="4" fillId="0" borderId="0" xfId="0" applyNumberFormat="1" applyFont="1"/>
    <xf numFmtId="0" fontId="8" fillId="0" borderId="0" xfId="0" applyFont="1" applyAlignment="1">
      <alignment horizontal="left" vertical="center"/>
    </xf>
  </cellXfs>
  <cellStyles count="3">
    <cellStyle name="Lien hypertexte" xfId="2" builtinId="8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ROC%202026/prg_recepteur_oc_maroc/simulation_ampli_2n5109_emetteur_comm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Emetteur commun"/>
      <sheetName val="Explications"/>
      <sheetName val="Comparaison"/>
      <sheetName val="E24"/>
      <sheetName val="IC=F(VCE)"/>
      <sheetName val="IC=F(iB)"/>
      <sheetName val="IB=F(vbe)"/>
      <sheetName val="VBe=F(Vce)"/>
      <sheetName val="Schémas"/>
      <sheetName val="Résultat Fourier"/>
      <sheetName val="Meas"/>
      <sheetName val="X"/>
      <sheetName val="dernier sauv1"/>
      <sheetName val="dernier sauv2"/>
    </sheetNames>
    <sheetDataSet>
      <sheetData sheetId="0"/>
      <sheetData sheetId="1"/>
      <sheetData sheetId="2"/>
      <sheetData sheetId="3"/>
      <sheetData sheetId="4">
        <row r="3">
          <cell r="N3">
            <v>4.7</v>
          </cell>
        </row>
        <row r="4">
          <cell r="N4">
            <v>11</v>
          </cell>
        </row>
        <row r="5">
          <cell r="N5">
            <v>300</v>
          </cell>
        </row>
        <row r="6">
          <cell r="N6">
            <v>16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6"/>
  <sheetViews>
    <sheetView tabSelected="1" topLeftCell="A61" workbookViewId="0">
      <selection sqref="A1:G136"/>
    </sheetView>
  </sheetViews>
  <sheetFormatPr baseColWidth="10" defaultRowHeight="14.5"/>
  <cols>
    <col min="1" max="1" width="5.26953125" customWidth="1"/>
    <col min="2" max="2" width="20.1796875" bestFit="1" customWidth="1"/>
    <col min="4" max="4" width="42.26953125" bestFit="1" customWidth="1"/>
    <col min="5" max="5" width="14.81640625" bestFit="1" customWidth="1"/>
    <col min="6" max="6" width="10" bestFit="1" customWidth="1"/>
  </cols>
  <sheetData>
    <row r="1" spans="1:7">
      <c r="A1" s="1">
        <v>1</v>
      </c>
      <c r="B1" t="s">
        <v>0</v>
      </c>
      <c r="C1" t="s">
        <v>1</v>
      </c>
      <c r="D1" t="s">
        <v>2</v>
      </c>
      <c r="E1" t="s">
        <v>3</v>
      </c>
      <c r="G1" s="2"/>
    </row>
    <row r="2" spans="1:7" ht="18.5">
      <c r="A2">
        <v>2</v>
      </c>
      <c r="B2" s="3" t="s">
        <v>4</v>
      </c>
      <c r="C2" s="3"/>
      <c r="D2" s="3"/>
      <c r="E2" s="3"/>
      <c r="F2" s="3"/>
      <c r="G2" s="3"/>
    </row>
    <row r="3" spans="1:7">
      <c r="A3">
        <v>3</v>
      </c>
      <c r="B3" t="s">
        <v>5</v>
      </c>
      <c r="C3" t="s">
        <v>6</v>
      </c>
      <c r="E3">
        <v>20</v>
      </c>
      <c r="F3" s="4">
        <f>E3/ 10^(MIN(3, INT(LOG10(E3)/3)) * 3)</f>
        <v>20</v>
      </c>
      <c r="G3" s="5" t="str">
        <f>IF(E3&gt;=1, "V", IF(E3&gt;=0.001, "mV", IF(E3&gt;=0.000001, "uV", IF(E3&gt;=0.000000001, "nV", "pV"))))</f>
        <v>V</v>
      </c>
    </row>
    <row r="4" spans="1:7">
      <c r="A4">
        <v>4</v>
      </c>
      <c r="B4" t="s">
        <v>7</v>
      </c>
      <c r="C4" t="s">
        <v>8</v>
      </c>
      <c r="E4">
        <v>128</v>
      </c>
      <c r="F4" s="4">
        <f>E4/ 10^(MIN(3, INT(LOG10(E4)/3)) * 3)</f>
        <v>128</v>
      </c>
      <c r="G4" s="2"/>
    </row>
    <row r="5" spans="1:7">
      <c r="A5">
        <v>5</v>
      </c>
      <c r="B5" t="s">
        <v>9</v>
      </c>
      <c r="C5" t="s">
        <v>10</v>
      </c>
      <c r="E5">
        <v>0.03</v>
      </c>
      <c r="F5" s="4">
        <f t="shared" ref="F5" si="0">E5/ 10^(MIN(3, INT(LOG10(E5)/3)) * 3)</f>
        <v>30</v>
      </c>
      <c r="G5" s="5" t="str">
        <f t="shared" ref="G5" si="1">IF(E5&gt;=1, "A", IF(E5&gt;=0.001, "mA", IF(E5&gt;=0.000001, "uA", IF(E5&gt;=0.000000001, "nA", "pA"))))</f>
        <v>mA</v>
      </c>
    </row>
    <row r="6" spans="1:7">
      <c r="A6">
        <v>6</v>
      </c>
      <c r="B6" t="s">
        <v>11</v>
      </c>
      <c r="C6" t="s">
        <v>12</v>
      </c>
      <c r="E6" s="6">
        <v>0.1</v>
      </c>
      <c r="F6" s="7">
        <f>E6</f>
        <v>0.1</v>
      </c>
      <c r="G6" s="2" t="s">
        <v>13</v>
      </c>
    </row>
    <row r="7" spans="1:7">
      <c r="A7">
        <v>7</v>
      </c>
      <c r="B7" t="s">
        <v>14</v>
      </c>
      <c r="C7" t="s">
        <v>15</v>
      </c>
      <c r="E7" s="6">
        <v>0.5</v>
      </c>
      <c r="F7" s="7">
        <f>E7</f>
        <v>0.5</v>
      </c>
      <c r="G7" s="2" t="s">
        <v>13</v>
      </c>
    </row>
    <row r="8" spans="1:7">
      <c r="A8">
        <v>8</v>
      </c>
      <c r="B8" t="s">
        <v>16</v>
      </c>
      <c r="C8" t="s">
        <v>17</v>
      </c>
      <c r="E8" s="6">
        <f>1-E7-E6</f>
        <v>0.4</v>
      </c>
      <c r="F8" s="7">
        <f>E8</f>
        <v>0.4</v>
      </c>
      <c r="G8" s="2" t="s">
        <v>13</v>
      </c>
    </row>
    <row r="9" spans="1:7">
      <c r="A9">
        <v>9</v>
      </c>
      <c r="B9" t="s">
        <v>18</v>
      </c>
      <c r="C9" t="s">
        <v>19</v>
      </c>
      <c r="E9" s="8">
        <v>10</v>
      </c>
      <c r="F9" s="7"/>
      <c r="G9" s="2"/>
    </row>
    <row r="10" spans="1:7">
      <c r="A10">
        <v>10</v>
      </c>
      <c r="B10" t="s">
        <v>20</v>
      </c>
      <c r="C10" t="s">
        <v>21</v>
      </c>
      <c r="E10" s="9">
        <v>2.5999999999999999E-2</v>
      </c>
      <c r="F10" s="4">
        <f t="shared" ref="F10:F16" si="2">E10/ 10^(MIN(3, INT(LOG10(E10)/3)) * 3)</f>
        <v>26</v>
      </c>
      <c r="G10" s="5" t="str">
        <f>IF(E10&gt;=1, "V", IF(E10&gt;=0.001, "mV", IF(E10&gt;=0.000001, "uV", IF(E10&gt;=0.000000001, "nV", "pV"))))</f>
        <v>mV</v>
      </c>
    </row>
    <row r="11" spans="1:7">
      <c r="A11">
        <v>11</v>
      </c>
      <c r="B11" t="s">
        <v>22</v>
      </c>
      <c r="C11" t="s">
        <v>23</v>
      </c>
      <c r="E11">
        <v>0.7</v>
      </c>
      <c r="F11" s="4">
        <f t="shared" si="2"/>
        <v>699.99999999999989</v>
      </c>
      <c r="G11" s="5" t="str">
        <f>IF(E11&gt;=1, "V", IF(E11&gt;=0.001, "mV", IF(E11&gt;=0.000001, "uV", IF(E11&gt;=0.000000001, "nV", "pV"))))</f>
        <v>mV</v>
      </c>
    </row>
    <row r="12" spans="1:7">
      <c r="A12">
        <v>12</v>
      </c>
      <c r="B12" t="s">
        <v>24</v>
      </c>
      <c r="C12" t="s">
        <v>25</v>
      </c>
      <c r="E12">
        <v>50</v>
      </c>
      <c r="F12" s="4">
        <f t="shared" si="2"/>
        <v>50</v>
      </c>
      <c r="G12" s="5" t="str">
        <f>IF(E12&gt;=10^6,"MΩ",IF(E12&gt;=10^3,"KΩ","Ω"))</f>
        <v>Ω</v>
      </c>
    </row>
    <row r="13" spans="1:7">
      <c r="A13">
        <v>13</v>
      </c>
      <c r="B13" t="s">
        <v>26</v>
      </c>
      <c r="C13" t="s">
        <v>27</v>
      </c>
      <c r="E13">
        <v>50</v>
      </c>
      <c r="F13" s="4">
        <f t="shared" si="2"/>
        <v>50</v>
      </c>
      <c r="G13" s="5" t="str">
        <f>IF(E13&gt;=10^6,"MΩ",IF(E13&gt;=10^3,"KΩ","Ω"))</f>
        <v>Ω</v>
      </c>
    </row>
    <row r="14" spans="1:7">
      <c r="A14">
        <v>14</v>
      </c>
      <c r="B14" t="s">
        <v>28</v>
      </c>
      <c r="C14" t="s">
        <v>29</v>
      </c>
      <c r="E14">
        <v>75</v>
      </c>
      <c r="F14" s="4">
        <f t="shared" si="2"/>
        <v>75</v>
      </c>
      <c r="G14" s="5" t="str">
        <f>IF(E14&gt;=1, "V", IF(E14&gt;=0.001, "mV", IF(E14&gt;=0.000001, "uV", IF(E14&gt;=0.000000001, "nV", "pV"))))</f>
        <v>V</v>
      </c>
    </row>
    <row r="15" spans="1:7">
      <c r="A15">
        <v>15</v>
      </c>
      <c r="B15" t="s">
        <v>30</v>
      </c>
      <c r="C15" t="s">
        <v>31</v>
      </c>
      <c r="E15">
        <v>500000</v>
      </c>
      <c r="F15" s="4">
        <f t="shared" si="2"/>
        <v>500</v>
      </c>
      <c r="G15" s="5" t="str">
        <f>IF(E15&gt;=10^6,"Mhz",IF(E15&gt;=10^3,"Khz","Hz"))</f>
        <v>Khz</v>
      </c>
    </row>
    <row r="16" spans="1:7">
      <c r="A16">
        <v>16</v>
      </c>
      <c r="B16" t="s">
        <v>32</v>
      </c>
      <c r="C16" t="s">
        <v>33</v>
      </c>
      <c r="E16">
        <v>30000000</v>
      </c>
      <c r="F16" s="4">
        <f t="shared" si="2"/>
        <v>30</v>
      </c>
      <c r="G16" s="5" t="str">
        <f>IF(E16&gt;=10^6,"Mhz",IF(E16&gt;=10^3,"Khz","Hz"))</f>
        <v>Mhz</v>
      </c>
    </row>
    <row r="17" spans="1:7">
      <c r="A17">
        <v>17</v>
      </c>
      <c r="B17" t="s">
        <v>34</v>
      </c>
      <c r="C17" t="s">
        <v>35</v>
      </c>
      <c r="D17" t="s">
        <v>36</v>
      </c>
      <c r="E17">
        <v>0.3</v>
      </c>
      <c r="F17" s="10">
        <f>E17/ 10^(MIN(3, INT(LOG10(E17)/3)) * 3)</f>
        <v>300</v>
      </c>
      <c r="G17" s="5" t="str">
        <f>IF(E17&gt;=1, "V", IF(E17&gt;=0.001, "mV", IF(E17&gt;=0.000001, "uV", IF(E17&gt;=0.000000001, "nV", "pV"))))</f>
        <v>mV</v>
      </c>
    </row>
    <row r="18" spans="1:7" ht="18.5">
      <c r="A18">
        <v>18</v>
      </c>
      <c r="B18" s="3" t="s">
        <v>37</v>
      </c>
      <c r="C18" s="3"/>
      <c r="D18" s="3"/>
      <c r="E18" s="3"/>
      <c r="F18" s="3"/>
      <c r="G18" s="3"/>
    </row>
    <row r="19" spans="1:7">
      <c r="A19">
        <v>19</v>
      </c>
      <c r="B19" t="s">
        <v>9</v>
      </c>
      <c r="C19" t="s">
        <v>10</v>
      </c>
      <c r="D19" t="s">
        <v>9</v>
      </c>
      <c r="E19">
        <f>E5</f>
        <v>0.03</v>
      </c>
      <c r="F19" s="4">
        <f t="shared" ref="F19:F25" si="3">E19/ 10^(MIN(3, INT(LOG10(E19)/3)) * 3)</f>
        <v>30</v>
      </c>
      <c r="G19" s="5" t="str">
        <f t="shared" ref="G19:G25" si="4">IF(E19&gt;=1, "A", IF(E19&gt;=0.001, "mA", IF(E19&gt;=0.000001, "uA", IF(E19&gt;=0.000000001, "nA", "pA"))))</f>
        <v>mA</v>
      </c>
    </row>
    <row r="20" spans="1:7">
      <c r="A20">
        <v>20</v>
      </c>
      <c r="B20" t="s">
        <v>38</v>
      </c>
      <c r="C20" t="s">
        <v>39</v>
      </c>
      <c r="D20" t="s">
        <v>40</v>
      </c>
      <c r="E20">
        <f>E19/E4</f>
        <v>2.3437499999999999E-4</v>
      </c>
      <c r="F20" s="10">
        <f t="shared" si="3"/>
        <v>234.375</v>
      </c>
      <c r="G20" s="5" t="str">
        <f t="shared" si="4"/>
        <v>uA</v>
      </c>
    </row>
    <row r="21" spans="1:7">
      <c r="A21">
        <v>21</v>
      </c>
      <c r="B21" t="s">
        <v>41</v>
      </c>
      <c r="C21" t="s">
        <v>42</v>
      </c>
      <c r="D21" t="s">
        <v>43</v>
      </c>
      <c r="E21">
        <f>E19+E20</f>
        <v>3.0234374999999997E-2</v>
      </c>
      <c r="F21" s="10">
        <f t="shared" si="3"/>
        <v>30.234374999999996</v>
      </c>
      <c r="G21" s="5" t="str">
        <f t="shared" si="4"/>
        <v>mA</v>
      </c>
    </row>
    <row r="22" spans="1:7">
      <c r="A22">
        <v>22</v>
      </c>
      <c r="F22" s="10"/>
      <c r="G22" s="5"/>
    </row>
    <row r="23" spans="1:7">
      <c r="A23">
        <v>23</v>
      </c>
      <c r="B23" t="s">
        <v>44</v>
      </c>
      <c r="C23" t="s">
        <v>45</v>
      </c>
      <c r="D23" t="s">
        <v>46</v>
      </c>
      <c r="E23">
        <f>E26+E20</f>
        <v>2.5781249999999997E-3</v>
      </c>
      <c r="F23" s="10">
        <f t="shared" si="3"/>
        <v>2.5781249999999996</v>
      </c>
      <c r="G23" s="5" t="str">
        <f t="shared" si="4"/>
        <v>mA</v>
      </c>
    </row>
    <row r="24" spans="1:7">
      <c r="A24">
        <v>24</v>
      </c>
      <c r="B24" t="s">
        <v>47</v>
      </c>
      <c r="C24" t="s">
        <v>48</v>
      </c>
      <c r="D24" t="s">
        <v>49</v>
      </c>
      <c r="E24">
        <f>E26</f>
        <v>2.3437499999999999E-3</v>
      </c>
      <c r="F24" s="10">
        <f t="shared" si="3"/>
        <v>2.34375</v>
      </c>
      <c r="G24" s="5" t="str">
        <f t="shared" si="4"/>
        <v>mA</v>
      </c>
    </row>
    <row r="25" spans="1:7">
      <c r="A25">
        <v>25</v>
      </c>
      <c r="B25" t="s">
        <v>50</v>
      </c>
      <c r="C25" t="s">
        <v>51</v>
      </c>
      <c r="D25" t="s">
        <v>52</v>
      </c>
      <c r="E25">
        <f>E5+E23</f>
        <v>3.2578124999999999E-2</v>
      </c>
      <c r="F25" s="10">
        <f t="shared" si="3"/>
        <v>32.578125</v>
      </c>
      <c r="G25" s="5" t="str">
        <f t="shared" si="4"/>
        <v>mA</v>
      </c>
    </row>
    <row r="26" spans="1:7">
      <c r="A26">
        <v>26</v>
      </c>
      <c r="B26" t="s">
        <v>49</v>
      </c>
      <c r="C26" t="s">
        <v>53</v>
      </c>
      <c r="D26" t="s">
        <v>54</v>
      </c>
      <c r="E26">
        <f>E9*E5/E4</f>
        <v>2.3437499999999999E-3</v>
      </c>
      <c r="F26" s="10">
        <f>E26/ 10^(MIN(3, INT(LOG10(E26)/3)) * 3)</f>
        <v>2.34375</v>
      </c>
      <c r="G26" s="5" t="str">
        <f>IF(E26&gt;=1, "A", IF(E26&gt;=0.001, "mA", IF(E26&gt;=0.000001, "uA", IF(E26&gt;=0.000000001, "nA", "pA"))))</f>
        <v>mA</v>
      </c>
    </row>
    <row r="27" spans="1:7">
      <c r="A27">
        <v>27</v>
      </c>
      <c r="B27" t="s">
        <v>55</v>
      </c>
      <c r="C27" t="s">
        <v>56</v>
      </c>
      <c r="D27" t="s">
        <v>57</v>
      </c>
      <c r="E27">
        <f>E3*E6</f>
        <v>2</v>
      </c>
      <c r="F27" s="4">
        <f t="shared" ref="F27:F33" si="5">E27/ 10^(MIN(3, INT(LOG10(E27)/3)) * 3)</f>
        <v>2</v>
      </c>
      <c r="G27" s="5" t="str">
        <f>IF(E27&gt;=1, "V", IF(E27&gt;=0.001, "mV", IF(E27&gt;=0.000001, "uV", IF(E27&gt;=0.000000001, "nV", "pV"))))</f>
        <v>V</v>
      </c>
    </row>
    <row r="28" spans="1:7">
      <c r="A28">
        <v>28</v>
      </c>
      <c r="B28" t="s">
        <v>58</v>
      </c>
      <c r="C28" t="s">
        <v>59</v>
      </c>
      <c r="D28" t="s">
        <v>60</v>
      </c>
      <c r="E28">
        <f>E3*E7</f>
        <v>10</v>
      </c>
      <c r="F28" s="4">
        <f t="shared" si="5"/>
        <v>10</v>
      </c>
      <c r="G28" s="5" t="str">
        <f t="shared" ref="G28:G37" si="6">IF(E28&gt;=1, "V", IF(E28&gt;=0.001, "mV", IF(E28&gt;=0.000001, "uV", IF(E28&gt;=0.000000001, "nV", "pV"))))</f>
        <v>V</v>
      </c>
    </row>
    <row r="29" spans="1:7">
      <c r="A29">
        <v>29</v>
      </c>
      <c r="B29" t="s">
        <v>61</v>
      </c>
      <c r="C29" t="s">
        <v>62</v>
      </c>
      <c r="D29" t="s">
        <v>63</v>
      </c>
      <c r="E29">
        <f>E36-E35</f>
        <v>0</v>
      </c>
      <c r="F29" s="4" t="e">
        <f t="shared" si="5"/>
        <v>#NUM!</v>
      </c>
      <c r="G29" s="5" t="str">
        <f t="shared" si="6"/>
        <v>pV</v>
      </c>
    </row>
    <row r="30" spans="1:7">
      <c r="A30">
        <v>30</v>
      </c>
      <c r="F30" s="4"/>
      <c r="G30" s="5"/>
    </row>
    <row r="31" spans="1:7">
      <c r="A31">
        <v>31</v>
      </c>
      <c r="B31" t="s">
        <v>64</v>
      </c>
      <c r="C31" t="s">
        <v>65</v>
      </c>
      <c r="D31" t="s">
        <v>66</v>
      </c>
      <c r="E31">
        <f>E3*E8</f>
        <v>8</v>
      </c>
      <c r="F31" s="4">
        <f t="shared" si="5"/>
        <v>8</v>
      </c>
      <c r="G31" s="5" t="str">
        <f t="shared" si="6"/>
        <v>V</v>
      </c>
    </row>
    <row r="32" spans="1:7">
      <c r="A32">
        <v>32</v>
      </c>
      <c r="G32" s="2"/>
    </row>
    <row r="33" spans="1:7">
      <c r="A33">
        <v>33</v>
      </c>
      <c r="B33" t="s">
        <v>67</v>
      </c>
      <c r="C33" t="s">
        <v>68</v>
      </c>
      <c r="D33" t="s">
        <v>69</v>
      </c>
      <c r="E33" s="11">
        <f>E41*E21</f>
        <v>1.6371875</v>
      </c>
      <c r="F33" s="12">
        <f t="shared" si="5"/>
        <v>1.6371875</v>
      </c>
      <c r="G33" s="5" t="str">
        <f>IF(E33&gt;=1, "V", IF(E33&gt;=0.001, "mV", IF(E33&gt;=0.000001, "uV", IF(E33&gt;=0.000000001, "nV", "pV"))))</f>
        <v>V</v>
      </c>
    </row>
    <row r="34" spans="1:7">
      <c r="A34">
        <v>34</v>
      </c>
      <c r="G34" s="2"/>
    </row>
    <row r="35" spans="1:7">
      <c r="A35">
        <v>35</v>
      </c>
      <c r="B35" t="s">
        <v>70</v>
      </c>
      <c r="C35" t="s">
        <v>71</v>
      </c>
      <c r="D35" t="s">
        <v>72</v>
      </c>
      <c r="E35">
        <f>E27+E11</f>
        <v>2.7</v>
      </c>
      <c r="F35" s="4">
        <f>E35/ 10^(MIN(3, INT(LOG10(E35)/3)) * 3)</f>
        <v>2.7</v>
      </c>
      <c r="G35" s="5" t="str">
        <f t="shared" si="6"/>
        <v>V</v>
      </c>
    </row>
    <row r="36" spans="1:7">
      <c r="A36">
        <v>36</v>
      </c>
      <c r="B36" t="s">
        <v>73</v>
      </c>
      <c r="C36" t="s">
        <v>74</v>
      </c>
      <c r="D36" t="s">
        <v>75</v>
      </c>
      <c r="E36">
        <v>2.7</v>
      </c>
      <c r="F36" s="4">
        <f>E36/ 10^(MIN(3, INT(LOG10(E36)/3)) * 3)</f>
        <v>2.7</v>
      </c>
      <c r="G36" s="5" t="str">
        <f t="shared" si="6"/>
        <v>V</v>
      </c>
    </row>
    <row r="37" spans="1:7">
      <c r="A37">
        <v>37</v>
      </c>
      <c r="B37" t="s">
        <v>76</v>
      </c>
      <c r="C37" t="s">
        <v>77</v>
      </c>
      <c r="D37" t="s">
        <v>55</v>
      </c>
      <c r="E37">
        <f>E27</f>
        <v>2</v>
      </c>
      <c r="F37" s="4">
        <f>E37/ 10^(MIN(3, INT(LOG10(E37)/3)) * 3)</f>
        <v>2</v>
      </c>
      <c r="G37" s="5" t="str">
        <f t="shared" si="6"/>
        <v>V</v>
      </c>
    </row>
    <row r="38" spans="1:7">
      <c r="A38">
        <v>38</v>
      </c>
      <c r="F38" s="4"/>
      <c r="G38" s="2"/>
    </row>
    <row r="39" spans="1:7">
      <c r="A39">
        <v>39</v>
      </c>
      <c r="B39" t="s">
        <v>78</v>
      </c>
      <c r="C39" t="s">
        <v>79</v>
      </c>
      <c r="D39" t="s">
        <v>80</v>
      </c>
      <c r="E39">
        <f>E27/E21</f>
        <v>66.1498708010336</v>
      </c>
      <c r="F39" s="10">
        <f t="shared" ref="F39:F44" si="7">E39/ 10^(MIN(3, INT(LOG10(E39)/3)) * 3)</f>
        <v>66.1498708010336</v>
      </c>
      <c r="G39" s="5" t="str">
        <f>IF(E39&gt;=10^6,"MΩ",IF(E39&gt;=10^3,"KΩ","Ω"))</f>
        <v>Ω</v>
      </c>
    </row>
    <row r="40" spans="1:7">
      <c r="A40">
        <v>40</v>
      </c>
      <c r="B40" t="s">
        <v>81</v>
      </c>
      <c r="C40" s="4" t="s">
        <v>82</v>
      </c>
      <c r="E40">
        <v>12</v>
      </c>
      <c r="F40" s="10">
        <f t="shared" si="7"/>
        <v>12</v>
      </c>
      <c r="G40" s="5" t="str">
        <f t="shared" ref="G40:G44" si="8">IF(E40&gt;=10^6,"MΩ",IF(E40&gt;=10^3,"KΩ","Ω"))</f>
        <v>Ω</v>
      </c>
    </row>
    <row r="41" spans="1:7">
      <c r="A41">
        <v>41</v>
      </c>
      <c r="B41" t="s">
        <v>83</v>
      </c>
      <c r="C41" s="4" t="s">
        <v>84</v>
      </c>
      <c r="D41" s="13" t="s">
        <v>85</v>
      </c>
      <c r="E41">
        <f>E39-E40</f>
        <v>54.1498708010336</v>
      </c>
      <c r="F41" s="10">
        <f t="shared" si="7"/>
        <v>54.1498708010336</v>
      </c>
      <c r="G41" s="5" t="str">
        <f t="shared" si="8"/>
        <v>Ω</v>
      </c>
    </row>
    <row r="42" spans="1:7">
      <c r="A42">
        <v>42</v>
      </c>
      <c r="B42" t="s">
        <v>86</v>
      </c>
      <c r="C42" t="s">
        <v>87</v>
      </c>
      <c r="D42" t="s">
        <v>88</v>
      </c>
      <c r="E42">
        <f>E31/E19</f>
        <v>266.66666666666669</v>
      </c>
      <c r="F42" s="10">
        <f t="shared" si="7"/>
        <v>266.66666666666669</v>
      </c>
      <c r="G42" s="5" t="str">
        <f t="shared" si="8"/>
        <v>Ω</v>
      </c>
    </row>
    <row r="43" spans="1:7">
      <c r="A43">
        <v>43</v>
      </c>
      <c r="B43" t="s">
        <v>89</v>
      </c>
      <c r="C43" t="s">
        <v>90</v>
      </c>
      <c r="D43" t="s">
        <v>91</v>
      </c>
      <c r="E43">
        <f>E35/E26</f>
        <v>1152.0000000000002</v>
      </c>
      <c r="F43" s="10">
        <f t="shared" si="7"/>
        <v>1.1520000000000001</v>
      </c>
      <c r="G43" s="5" t="str">
        <f t="shared" si="8"/>
        <v>KΩ</v>
      </c>
    </row>
    <row r="44" spans="1:7">
      <c r="A44">
        <v>44</v>
      </c>
      <c r="B44" t="s">
        <v>92</v>
      </c>
      <c r="C44" t="s">
        <v>93</v>
      </c>
      <c r="D44" t="s">
        <v>94</v>
      </c>
      <c r="E44">
        <f>(E3-E35)/(E26+E20)</f>
        <v>6710.3030303030309</v>
      </c>
      <c r="F44" s="10">
        <f t="shared" si="7"/>
        <v>6.7103030303030309</v>
      </c>
      <c r="G44" s="5" t="str">
        <f t="shared" si="8"/>
        <v>KΩ</v>
      </c>
    </row>
    <row r="45" spans="1:7">
      <c r="A45">
        <v>45</v>
      </c>
      <c r="B45" t="s">
        <v>95</v>
      </c>
      <c r="C45" t="s">
        <v>96</v>
      </c>
      <c r="D45" t="s">
        <v>97</v>
      </c>
      <c r="E45">
        <f>E33/E41</f>
        <v>3.0234374999999994E-2</v>
      </c>
      <c r="F45" s="10">
        <f>E45/ 10^(MIN(3, INT(LOG10(E45)/3)) * 3)</f>
        <v>30.234374999999993</v>
      </c>
      <c r="G45" s="5" t="str">
        <f>IF(E45&gt;=1, "A", IF(E45&gt;=0.001, "mA", IF(E45&gt;=0.000001, "uA", IF(E45&gt;=0.000000001, "nA", "pA"))))</f>
        <v>mA</v>
      </c>
    </row>
    <row r="46" spans="1:7">
      <c r="A46">
        <v>46</v>
      </c>
      <c r="B46" t="s">
        <v>98</v>
      </c>
      <c r="C46" t="s">
        <v>99</v>
      </c>
      <c r="D46" t="s">
        <v>100</v>
      </c>
      <c r="E46">
        <f>E31/E42</f>
        <v>0.03</v>
      </c>
      <c r="F46" s="10">
        <f>E46/ 10^(MIN(3, INT(LOG10(E46)/3)) * 3)</f>
        <v>30</v>
      </c>
      <c r="G46" s="5" t="str">
        <f>IF(E46&gt;=1, "A", IF(E46&gt;=0.001, "mA", IF(E46&gt;=0.000001, "uA", IF(E46&gt;=0.000000001, "nA", "pA"))))</f>
        <v>mA</v>
      </c>
    </row>
    <row r="47" spans="1:7">
      <c r="A47">
        <v>47</v>
      </c>
      <c r="B47" t="s">
        <v>101</v>
      </c>
      <c r="D47" t="s">
        <v>102</v>
      </c>
      <c r="E47">
        <f>E113/E13</f>
        <v>0.02</v>
      </c>
      <c r="F47" s="10">
        <f>E47/ 10^(MIN(3, INT(LOG10(E47)/3)) * 3)</f>
        <v>20</v>
      </c>
      <c r="G47" s="5" t="str">
        <f>IF(E47&gt;=1, "A", IF(E47&gt;=0.001, "mA", IF(E47&gt;=0.000001, "uA", IF(E47&gt;=0.000000001, "nA", "pA"))))</f>
        <v>mA</v>
      </c>
    </row>
    <row r="48" spans="1:7">
      <c r="A48">
        <v>48</v>
      </c>
      <c r="F48" s="10"/>
      <c r="G48" s="5"/>
    </row>
    <row r="49" spans="1:7" ht="18.5">
      <c r="A49">
        <v>49</v>
      </c>
      <c r="B49" s="3" t="s">
        <v>103</v>
      </c>
      <c r="C49" s="3"/>
      <c r="D49" s="3"/>
      <c r="E49" s="3"/>
      <c r="F49" s="3"/>
      <c r="G49" s="3"/>
    </row>
    <row r="50" spans="1:7">
      <c r="A50">
        <v>50</v>
      </c>
      <c r="C50" t="s">
        <v>104</v>
      </c>
      <c r="D50" t="s">
        <v>105</v>
      </c>
      <c r="F50" s="4"/>
      <c r="G50" s="5"/>
    </row>
    <row r="51" spans="1:7">
      <c r="A51">
        <v>51</v>
      </c>
      <c r="C51" t="s">
        <v>106</v>
      </c>
      <c r="D51" t="s">
        <v>107</v>
      </c>
      <c r="E51">
        <f>E3</f>
        <v>20</v>
      </c>
      <c r="F51" s="10">
        <f>E51/ 10^(MIN(3, INT(LOG10(E51)/3)) * 3)</f>
        <v>20</v>
      </c>
      <c r="G51" s="5" t="str">
        <f t="shared" ref="G51" si="9">IF(E51&gt;=1, "V", IF(E51&gt;=0.001, "mV", IF(E51&gt;=0.000001, "uV", IF(E51&gt;=0.000000001, "nV", "pV"))))</f>
        <v>V</v>
      </c>
    </row>
    <row r="52" spans="1:7">
      <c r="A52">
        <v>52</v>
      </c>
      <c r="C52" t="s">
        <v>108</v>
      </c>
      <c r="D52" t="s">
        <v>109</v>
      </c>
      <c r="E52">
        <f>(E3-E17)/(E42+E39)</f>
        <v>5.9191770186335396E-2</v>
      </c>
      <c r="F52" s="10">
        <f>E52/ 10^(MIN(3, INT(LOG10(E52)/3)) * 3)</f>
        <v>59.191770186335397</v>
      </c>
      <c r="G52" s="5" t="str">
        <f>IF(E52&gt;=1, "A", IF(E52&gt;=0.001, "mA", IF(E52&gt;=0.000001, "uA", IF(E52&gt;=0.000000001, "nA", "pA"))))</f>
        <v>mA</v>
      </c>
    </row>
    <row r="53" spans="1:7">
      <c r="A53">
        <v>53</v>
      </c>
      <c r="C53" t="str">
        <f>"Point de repos Q(" &amp; E28 &amp; "V / " &amp; E19&amp;G19&amp;")"</f>
        <v>Point de repos Q(10V / 0,03mA)</v>
      </c>
      <c r="F53" s="4"/>
      <c r="G53" s="5"/>
    </row>
    <row r="54" spans="1:7" ht="18.5">
      <c r="A54">
        <v>54</v>
      </c>
      <c r="B54" s="3" t="s">
        <v>110</v>
      </c>
      <c r="C54" s="3"/>
      <c r="D54" s="3"/>
      <c r="E54" s="3"/>
      <c r="F54" s="3"/>
      <c r="G54" s="3"/>
    </row>
    <row r="55" spans="1:7" ht="16.5">
      <c r="A55">
        <v>55</v>
      </c>
      <c r="B55" t="s">
        <v>111</v>
      </c>
      <c r="C55" t="s">
        <v>112</v>
      </c>
      <c r="D55" t="s">
        <v>113</v>
      </c>
      <c r="E55" s="4">
        <f>1/E58</f>
        <v>1.0508020725044789E-4</v>
      </c>
      <c r="F55" s="10">
        <f t="shared" ref="F55" si="10">E55/ 10^(MIN(3, INT(LOG10(E55)/3)) * 3)</f>
        <v>105.08020725044788</v>
      </c>
      <c r="G55" s="14" t="s">
        <v>114</v>
      </c>
    </row>
    <row r="56" spans="1:7">
      <c r="A56">
        <v>56</v>
      </c>
      <c r="B56" t="s">
        <v>115</v>
      </c>
      <c r="C56" t="s">
        <v>116</v>
      </c>
      <c r="D56" t="s">
        <v>117</v>
      </c>
      <c r="E56">
        <f>E3*(E43/(E43+E44))</f>
        <v>2.9304390725209672</v>
      </c>
      <c r="F56" s="10">
        <f>E56/ 10^(MIN(3, INT(LOG10(E56)/3)) * 3)</f>
        <v>2.9304390725209672</v>
      </c>
      <c r="G56" s="5" t="str">
        <f t="shared" ref="G56" si="11">IF(E56&gt;=1, "V", IF(E56&gt;=0.001, "mV", IF(E56&gt;=0.000001, "uV", IF(E56&gt;=0.000000001, "nV", "pV"))))</f>
        <v>V</v>
      </c>
    </row>
    <row r="57" spans="1:7">
      <c r="A57">
        <v>57</v>
      </c>
      <c r="B57" t="s">
        <v>118</v>
      </c>
      <c r="C57" t="s">
        <v>119</v>
      </c>
      <c r="D57" t="s">
        <v>120</v>
      </c>
      <c r="E57">
        <f>(E44*E43)/(E44+E43)</f>
        <v>983.20670942279253</v>
      </c>
      <c r="F57" s="10">
        <f t="shared" ref="F57:F58" si="12">E57/ 10^(MIN(3, INT(LOG10(E57)/3)) * 3)</f>
        <v>983.20670942279253</v>
      </c>
      <c r="G57" s="5" t="str">
        <f>IF(E57&gt;=10^6,"MΩ",IF(E57&gt;=10^3,"KΩ","Ω"))</f>
        <v>Ω</v>
      </c>
    </row>
    <row r="58" spans="1:7">
      <c r="A58">
        <v>58</v>
      </c>
      <c r="B58" t="s">
        <v>121</v>
      </c>
      <c r="D58" t="s">
        <v>122</v>
      </c>
      <c r="E58">
        <f>E57+((E4+1)*E39)</f>
        <v>9516.5400427561271</v>
      </c>
      <c r="F58" s="10">
        <f t="shared" si="12"/>
        <v>9.5165400427561266</v>
      </c>
      <c r="G58" s="5" t="str">
        <f>IF(E58&gt;=10^6,"MΩ",IF(E58&gt;=10^3,"KΩ","Ω"))</f>
        <v>KΩ</v>
      </c>
    </row>
    <row r="59" spans="1:7">
      <c r="A59">
        <v>59</v>
      </c>
      <c r="B59" t="s">
        <v>22</v>
      </c>
      <c r="D59" t="s">
        <v>123</v>
      </c>
      <c r="E59">
        <f>E56-(E58*E20)</f>
        <v>0.70000000000000018</v>
      </c>
      <c r="F59" s="10">
        <f>E59/ 10^(MIN(3, INT(LOG10(E59)/3)) * 3)</f>
        <v>700.00000000000011</v>
      </c>
      <c r="G59" s="5" t="str">
        <f t="shared" ref="G59" si="13">IF(E59&gt;=1, "V", IF(E59&gt;=0.001, "mV", IF(E59&gt;=0.000001, "uV", IF(E59&gt;=0.000000001, "nV", "pV"))))</f>
        <v>mV</v>
      </c>
    </row>
    <row r="60" spans="1:7">
      <c r="A60">
        <v>60</v>
      </c>
      <c r="B60" t="s">
        <v>124</v>
      </c>
      <c r="C60" t="str">
        <f>"Ib=0 coordonnées("&amp;INT(E56*100)/100&amp;G56&amp;" / "&amp;"0mA)"</f>
        <v>Ib=0 coordonnées(2,93V / 0mA)</v>
      </c>
      <c r="F60" s="4"/>
      <c r="G60" s="5"/>
    </row>
    <row r="61" spans="1:7">
      <c r="A61">
        <v>61</v>
      </c>
      <c r="B61" t="s">
        <v>125</v>
      </c>
      <c r="D61" t="s">
        <v>126</v>
      </c>
      <c r="E61">
        <f>E56/E58</f>
        <v>3.0793114507531353E-4</v>
      </c>
      <c r="F61" s="10">
        <f>E61/ 10^(MIN(3, INT(LOG10(E61)/3)) * 3)</f>
        <v>307.93114507531357</v>
      </c>
      <c r="G61" s="5" t="str">
        <f>IF(E61&gt;=1, "A", IF(E61&gt;=0.001, "mA", IF(E61&gt;=0.000001, "uA", IF(E61&gt;=0.000000001, "nA", "pA"))))</f>
        <v>uA</v>
      </c>
    </row>
    <row r="62" spans="1:7">
      <c r="A62">
        <v>62</v>
      </c>
      <c r="B62" t="s">
        <v>127</v>
      </c>
      <c r="C62" t="str">
        <f>"Vbe=0 coordonnées(0V / " &amp;INT(F61)&amp;G61&amp;")"</f>
        <v>Vbe=0 coordonnées(0V / 307uA)</v>
      </c>
      <c r="G62" s="2"/>
    </row>
    <row r="63" spans="1:7">
      <c r="A63">
        <v>63</v>
      </c>
      <c r="B63" t="s">
        <v>128</v>
      </c>
      <c r="C63" t="str">
        <f>"Position du Point de Repos sur cette droite Q("&amp;F59&amp;G59&amp;" / " &amp;F63&amp;G63&amp;")"</f>
        <v>Position du Point de Repos sur cette droite Q(700mV / 234,375uA)</v>
      </c>
      <c r="D63" t="s">
        <v>129</v>
      </c>
      <c r="E63">
        <f>(E56-E59)/E58</f>
        <v>2.3437499999999996E-4</v>
      </c>
      <c r="F63" s="10">
        <f>E63/ 10^(MIN(3, INT(LOG10(E63)/3)) * 3)</f>
        <v>234.37499999999997</v>
      </c>
      <c r="G63" s="5" t="str">
        <f>IF(E63&gt;=1, "A", IF(E63&gt;=0.001, "mA", IF(E63&gt;=0.000001, "uA", IF(E63&gt;=0.000000001, "nA", "pA"))))</f>
        <v>uA</v>
      </c>
    </row>
    <row r="64" spans="1:7" ht="18.5">
      <c r="A64">
        <v>64</v>
      </c>
      <c r="B64" s="3" t="s">
        <v>130</v>
      </c>
      <c r="C64" s="3"/>
      <c r="D64" s="3"/>
      <c r="E64" s="3"/>
      <c r="F64" s="3"/>
      <c r="G64" s="3"/>
    </row>
    <row r="65" spans="1:7" ht="16.5">
      <c r="A65">
        <v>65</v>
      </c>
      <c r="B65" t="s">
        <v>131</v>
      </c>
      <c r="C65" t="s">
        <v>132</v>
      </c>
      <c r="D65" t="s">
        <v>133</v>
      </c>
      <c r="E65" s="15">
        <f>E19/E10</f>
        <v>1.153846153846154</v>
      </c>
      <c r="F65" s="10">
        <f t="shared" ref="F65:F70" si="14">E65/ 10^(MIN(3, INT(LOG10(E65)/3)) * 3)</f>
        <v>1.153846153846154</v>
      </c>
      <c r="G65" s="14" t="s">
        <v>114</v>
      </c>
    </row>
    <row r="66" spans="1:7">
      <c r="A66">
        <v>66</v>
      </c>
      <c r="B66" t="s">
        <v>134</v>
      </c>
      <c r="C66" t="s">
        <v>135</v>
      </c>
      <c r="D66" t="s">
        <v>136</v>
      </c>
      <c r="E66" s="15">
        <f>1/E65</f>
        <v>0.86666666666666659</v>
      </c>
      <c r="F66" s="10">
        <f t="shared" si="14"/>
        <v>866.66666666666652</v>
      </c>
      <c r="G66" s="5" t="str">
        <f>IF(E66&gt;=1, "Ω", IF(E66&gt;=0.001, "mΩ", IF(E66&gt;=0.000001, "uΩ", IF(E66&gt;=0.000000001, "nΩ", "pΩ"))))</f>
        <v>mΩ</v>
      </c>
    </row>
    <row r="67" spans="1:7">
      <c r="A67">
        <v>67</v>
      </c>
      <c r="B67" t="s">
        <v>137</v>
      </c>
      <c r="C67" t="s">
        <v>138</v>
      </c>
      <c r="D67" t="s">
        <v>139</v>
      </c>
      <c r="E67" s="15">
        <f>E4/E65</f>
        <v>110.93333333333332</v>
      </c>
      <c r="F67" s="10">
        <f t="shared" si="14"/>
        <v>110.93333333333332</v>
      </c>
      <c r="G67" s="5" t="str">
        <f>IF(E67&gt;=10^6,"MΩ",IF(E67&gt;=10^3,"KΩ","Ω"))</f>
        <v>Ω</v>
      </c>
    </row>
    <row r="68" spans="1:7">
      <c r="A68">
        <v>68</v>
      </c>
      <c r="B68" t="s">
        <v>140</v>
      </c>
      <c r="C68" t="s">
        <v>141</v>
      </c>
      <c r="D68" t="s">
        <v>142</v>
      </c>
      <c r="E68" s="15">
        <f>(E44*E43)/(E44+E43)</f>
        <v>983.20670942279253</v>
      </c>
      <c r="F68" s="10">
        <f t="shared" si="14"/>
        <v>983.20670942279253</v>
      </c>
      <c r="G68" s="5" t="str">
        <f>IF(E68&gt;=10^6,"MΩ",IF(E68&gt;=10^3,"KΩ","Ω"))</f>
        <v>Ω</v>
      </c>
    </row>
    <row r="69" spans="1:7">
      <c r="A69">
        <v>69</v>
      </c>
      <c r="B69" t="s">
        <v>143</v>
      </c>
      <c r="D69" t="s">
        <v>144</v>
      </c>
      <c r="E69" s="15">
        <f>E67+(E4+1)*E40</f>
        <v>1658.9333333333334</v>
      </c>
      <c r="F69" s="10">
        <f t="shared" si="14"/>
        <v>1.6589333333333334</v>
      </c>
      <c r="G69" s="5" t="str">
        <f>IF(E69&gt;=10^6,"MΩ",IF(E69&gt;=10^3,"KΩ","Ω"))</f>
        <v>KΩ</v>
      </c>
    </row>
    <row r="70" spans="1:7">
      <c r="A70">
        <v>70</v>
      </c>
      <c r="B70" t="s">
        <v>145</v>
      </c>
      <c r="C70" t="s">
        <v>146</v>
      </c>
      <c r="D70" t="s">
        <v>147</v>
      </c>
      <c r="E70" s="15">
        <f>(E14+E28)/E19</f>
        <v>2833.3333333333335</v>
      </c>
      <c r="F70" s="10">
        <f t="shared" si="14"/>
        <v>2.8333333333333335</v>
      </c>
      <c r="G70" s="5" t="str">
        <f>IF(E70&gt;=10^6,"MΩ",IF(E70&gt;=10^3,"KΩ","Ω"))</f>
        <v>KΩ</v>
      </c>
    </row>
    <row r="71" spans="1:7">
      <c r="A71">
        <v>71</v>
      </c>
      <c r="B71" t="s">
        <v>148</v>
      </c>
      <c r="C71" t="s">
        <v>149</v>
      </c>
      <c r="D71" t="s">
        <v>150</v>
      </c>
      <c r="E71" s="15">
        <f>E28+(E19*E116)</f>
        <v>11.263157894736842</v>
      </c>
      <c r="F71" s="10">
        <f>E71/ 10^(MIN(3, INT(LOG10(E71)/3)) * 3)</f>
        <v>11.263157894736842</v>
      </c>
      <c r="G71" s="5" t="str">
        <f t="shared" ref="G71:G74" si="15">IF(E71&gt;=1, "V", IF(E71&gt;=0.001, "mV", IF(E71&gt;=0.000001, "uV", IF(E71&gt;=0.000000001, "nV", "pV"))))</f>
        <v>V</v>
      </c>
    </row>
    <row r="72" spans="1:7">
      <c r="A72">
        <v>72</v>
      </c>
      <c r="B72" t="s">
        <v>151</v>
      </c>
      <c r="C72" t="s">
        <v>152</v>
      </c>
      <c r="D72" t="s">
        <v>153</v>
      </c>
      <c r="E72" s="15">
        <f>MIN(E19*E116,E28-E17)</f>
        <v>1.263157894736842</v>
      </c>
      <c r="F72" s="10">
        <f>E72/ 10^(MIN(3, INT(LOG10(E72)/3)) * 3)</f>
        <v>1.263157894736842</v>
      </c>
      <c r="G72" s="5" t="str">
        <f t="shared" si="15"/>
        <v>V</v>
      </c>
    </row>
    <row r="73" spans="1:7">
      <c r="A73">
        <v>73</v>
      </c>
      <c r="B73" t="s">
        <v>154</v>
      </c>
      <c r="C73" t="s">
        <v>155</v>
      </c>
      <c r="D73" t="s">
        <v>156</v>
      </c>
      <c r="E73" s="15">
        <f>2*MIN(E71,E72)</f>
        <v>2.5263157894736841</v>
      </c>
      <c r="F73" s="10">
        <f>E73/ 10^(MIN(3, INT(LOG10(E73)/3)) * 3)</f>
        <v>2.5263157894736841</v>
      </c>
      <c r="G73" s="5" t="str">
        <f t="shared" si="15"/>
        <v>V</v>
      </c>
    </row>
    <row r="74" spans="1:7">
      <c r="A74">
        <v>74</v>
      </c>
      <c r="B74" t="s">
        <v>157</v>
      </c>
      <c r="C74" t="s">
        <v>158</v>
      </c>
      <c r="D74" t="s">
        <v>159</v>
      </c>
      <c r="E74" s="15">
        <f>E72/ABS(E117)</f>
        <v>0.38881250000000001</v>
      </c>
      <c r="F74" s="10">
        <f>E74/ 10^(MIN(3, INT(LOG10(E74)/3)) * 3)</f>
        <v>388.8125</v>
      </c>
      <c r="G74" s="5" t="str">
        <f t="shared" si="15"/>
        <v>mV</v>
      </c>
    </row>
    <row r="75" spans="1:7" ht="18.5">
      <c r="A75">
        <v>75</v>
      </c>
      <c r="B75" s="3" t="s">
        <v>160</v>
      </c>
      <c r="C75" s="3"/>
      <c r="D75" s="3"/>
      <c r="E75" s="3"/>
      <c r="F75" s="3"/>
      <c r="G75" s="3"/>
    </row>
    <row r="76" spans="1:7" ht="16.5">
      <c r="A76">
        <v>76</v>
      </c>
      <c r="C76" t="s">
        <v>112</v>
      </c>
      <c r="D76" s="13" t="s">
        <v>161</v>
      </c>
      <c r="E76">
        <f>-1/E116</f>
        <v>-2.3750000000000004E-2</v>
      </c>
      <c r="F76" s="4"/>
      <c r="G76" s="14" t="s">
        <v>114</v>
      </c>
    </row>
    <row r="77" spans="1:7">
      <c r="A77">
        <v>77</v>
      </c>
      <c r="B77" t="s">
        <v>162</v>
      </c>
      <c r="C77" t="s">
        <v>163</v>
      </c>
      <c r="D77" s="13" t="s">
        <v>164</v>
      </c>
      <c r="E77">
        <f>MIN(E5,E28/E116)</f>
        <v>0.03</v>
      </c>
      <c r="F77" s="10">
        <f>E77/ 10^(MIN(3, INT(LOG10(E77)/3)) * 3)</f>
        <v>30</v>
      </c>
      <c r="G77" s="5" t="str">
        <f>IF(E77&gt;=1, "A", IF(E77&gt;=0.001, "mA", IF(E77&gt;=0.000001, "uA", IF(E77&gt;=0.000000001, "nA", "pA"))))</f>
        <v>mA</v>
      </c>
    </row>
    <row r="78" spans="1:7">
      <c r="A78">
        <v>78</v>
      </c>
      <c r="B78" t="s">
        <v>165</v>
      </c>
      <c r="C78" t="s">
        <v>166</v>
      </c>
      <c r="D78" s="13" t="s">
        <v>167</v>
      </c>
      <c r="E78" s="16">
        <f>E28+(E5*E116)</f>
        <v>11.263157894736842</v>
      </c>
      <c r="F78" s="10">
        <f>E78/ 10^(MIN(3, INT(LOG10(E78)/3)) * 3)</f>
        <v>11.263157894736842</v>
      </c>
      <c r="G78" s="5" t="str">
        <f t="shared" ref="G78" si="16">IF(E78&gt;=1, "V", IF(E78&gt;=0.001, "mV", IF(E78&gt;=0.000001, "uV", IF(E78&gt;=0.000000001, "nV", "pV"))))</f>
        <v>V</v>
      </c>
    </row>
    <row r="79" spans="1:7">
      <c r="A79">
        <v>79</v>
      </c>
      <c r="C79" t="s">
        <v>168</v>
      </c>
      <c r="D79" s="13"/>
      <c r="F79" s="4"/>
      <c r="G79" s="5"/>
    </row>
    <row r="80" spans="1:7">
      <c r="A80">
        <v>80</v>
      </c>
      <c r="B80" t="s">
        <v>124</v>
      </c>
      <c r="C80" t="str">
        <f>"Point de repos Q(" &amp; INT(E28*100)/100 &amp; "V / " &amp; E5&amp;G5&amp;")"</f>
        <v>Point de repos Q(10V / 0,03mA)</v>
      </c>
      <c r="D80" s="13"/>
      <c r="F80" s="4"/>
      <c r="G80" s="5"/>
    </row>
    <row r="81" spans="1:7">
      <c r="A81">
        <v>81</v>
      </c>
      <c r="B81" t="s">
        <v>127</v>
      </c>
      <c r="C81" t="str">
        <f>"Point de repos Q(" &amp; INT(E78*100)/100 &amp; "V / 0mA)"</f>
        <v>Point de repos Q(11,26V / 0mA)</v>
      </c>
      <c r="D81" s="13"/>
      <c r="E81" s="16"/>
      <c r="F81" s="4"/>
      <c r="G81" s="5"/>
    </row>
    <row r="82" spans="1:7">
      <c r="A82">
        <v>82</v>
      </c>
      <c r="B82" t="s">
        <v>169</v>
      </c>
      <c r="C82" t="s">
        <v>170</v>
      </c>
      <c r="D82" t="s">
        <v>171</v>
      </c>
      <c r="E82">
        <f>E19+(E28/E116)</f>
        <v>0.26750000000000002</v>
      </c>
      <c r="F82" s="10">
        <f>E82/ 10^(MIN(3, INT(LOG10(E82)/3)) * 3)</f>
        <v>267.5</v>
      </c>
      <c r="G82" s="5" t="str">
        <f>IF(E82&gt;=1, "A", IF(E82&gt;=0.001, "mA", IF(E82&gt;=0.000001, "uA", IF(E82&gt;=0.000000001, "nA", "pA"))))</f>
        <v>mA</v>
      </c>
    </row>
    <row r="83" spans="1:7">
      <c r="A83">
        <v>83</v>
      </c>
      <c r="B83" t="s">
        <v>172</v>
      </c>
      <c r="C83" t="str">
        <f>"Coordonnées( 0V / "&amp;F82&amp;G82&amp;")"</f>
        <v>Coordonnées( 0V / 267,5mA)</v>
      </c>
      <c r="D83" s="13"/>
      <c r="F83" s="4"/>
      <c r="G83" s="5"/>
    </row>
    <row r="84" spans="1:7" ht="18.5">
      <c r="A84">
        <v>84</v>
      </c>
      <c r="B84" s="3" t="s">
        <v>173</v>
      </c>
      <c r="C84" s="3"/>
      <c r="D84" s="3"/>
      <c r="E84" s="3"/>
      <c r="F84" s="3"/>
      <c r="G84" s="3"/>
    </row>
    <row r="85" spans="1:7">
      <c r="A85">
        <v>85</v>
      </c>
      <c r="B85" t="s">
        <v>143</v>
      </c>
      <c r="C85" t="s">
        <v>174</v>
      </c>
      <c r="D85" s="13"/>
      <c r="E85">
        <f>E69</f>
        <v>1658.9333333333334</v>
      </c>
      <c r="F85" s="4"/>
      <c r="G85" s="5"/>
    </row>
    <row r="86" spans="1:7">
      <c r="A86">
        <v>86</v>
      </c>
      <c r="B86" t="s">
        <v>175</v>
      </c>
      <c r="C86" t="s">
        <v>176</v>
      </c>
      <c r="D86" t="s">
        <v>177</v>
      </c>
      <c r="E86">
        <f>ABS(E78/E117)</f>
        <v>3.4669114583333336</v>
      </c>
      <c r="F86" s="10">
        <f>E86/ 10^(MIN(3, INT(LOG10(E86)/3)) * 3)</f>
        <v>3.4669114583333336</v>
      </c>
      <c r="G86" s="5" t="str">
        <f t="shared" ref="G86" si="17">IF(E86&gt;=1, "V", IF(E86&gt;=0.001, "mV", IF(E86&gt;=0.000001, "uV", IF(E86&gt;=0.000000001, "nV", "pV"))))</f>
        <v>V</v>
      </c>
    </row>
    <row r="87" spans="1:7">
      <c r="A87">
        <v>87</v>
      </c>
      <c r="C87" t="str">
        <f>"Point 1 - Point de repos Qentree ("&amp;E11&amp;"V / "&amp;F20&amp;G20&amp;")"</f>
        <v>Point 1 - Point de repos Qentree (0,7V / 234,375uA)</v>
      </c>
      <c r="D87" s="13"/>
      <c r="F87" s="4"/>
      <c r="G87" s="5"/>
    </row>
    <row r="88" spans="1:7">
      <c r="A88">
        <v>88</v>
      </c>
      <c r="C88" t="s">
        <v>112</v>
      </c>
      <c r="D88" s="13" t="s">
        <v>178</v>
      </c>
      <c r="E88">
        <f>1/E93</f>
        <v>2.1017080122029543E-2</v>
      </c>
      <c r="F88" s="4"/>
      <c r="G88" s="5"/>
    </row>
    <row r="89" spans="1:7" ht="18.5">
      <c r="A89">
        <v>89</v>
      </c>
      <c r="B89" s="3" t="s">
        <v>179</v>
      </c>
      <c r="C89" s="3"/>
      <c r="D89" s="3"/>
      <c r="E89" s="3"/>
      <c r="F89" s="3"/>
      <c r="G89" s="3"/>
    </row>
    <row r="90" spans="1:7">
      <c r="A90">
        <v>90</v>
      </c>
      <c r="B90" t="s">
        <v>180</v>
      </c>
      <c r="C90" t="s">
        <v>181</v>
      </c>
      <c r="D90" t="s">
        <v>182</v>
      </c>
      <c r="E90" s="16">
        <f>((E68*E69)/(E68+E69))+E13</f>
        <v>667.33078391901211</v>
      </c>
      <c r="F90" s="10">
        <f>E90/ 10^(MIN(3, INT(LOG10(E90)/3)) * 3)</f>
        <v>667.33078391901211</v>
      </c>
      <c r="G90" s="5" t="str">
        <f>IF(E90&gt;=10^6,"MΩ",IF(E90&gt;=10^3,"KΩ","Ω"))</f>
        <v>Ω</v>
      </c>
    </row>
    <row r="91" spans="1:7">
      <c r="A91">
        <v>91</v>
      </c>
      <c r="B91" t="s">
        <v>183</v>
      </c>
      <c r="C91" t="s">
        <v>184</v>
      </c>
      <c r="D91" t="s">
        <v>185</v>
      </c>
      <c r="E91" s="16">
        <f>((E42*E70)/(E42+E70))+E12</f>
        <v>293.7275985663083</v>
      </c>
      <c r="F91" s="10">
        <f t="shared" ref="F91:F97" si="18">E91/ 10^(MIN(3, INT(LOG10(E91)/3)) * 3)</f>
        <v>293.7275985663083</v>
      </c>
      <c r="G91" s="5" t="str">
        <f t="shared" ref="G91:G97" si="19">IF(E91&gt;=10^6,"MΩ",IF(E91&gt;=10^3,"KΩ","Ω"))</f>
        <v>Ω</v>
      </c>
    </row>
    <row r="92" spans="1:7">
      <c r="A92">
        <v>92</v>
      </c>
      <c r="B92" t="s">
        <v>186</v>
      </c>
      <c r="C92" t="s">
        <v>187</v>
      </c>
      <c r="D92" t="s">
        <v>188</v>
      </c>
      <c r="E92" s="16">
        <f>(E44*E43)/(E44+E43)</f>
        <v>983.20670942279253</v>
      </c>
      <c r="F92" s="10">
        <f t="shared" si="18"/>
        <v>983.20670942279253</v>
      </c>
      <c r="G92" s="5" t="str">
        <f t="shared" si="19"/>
        <v>Ω</v>
      </c>
    </row>
    <row r="93" spans="1:7">
      <c r="A93">
        <v>93</v>
      </c>
      <c r="B93" t="s">
        <v>186</v>
      </c>
      <c r="C93" t="s">
        <v>189</v>
      </c>
      <c r="D93" t="s">
        <v>190</v>
      </c>
      <c r="E93" s="16">
        <f>(E92*E13)/(E92+E13)</f>
        <v>47.580348658985535</v>
      </c>
      <c r="F93" s="10">
        <f t="shared" si="18"/>
        <v>47.580348658985535</v>
      </c>
      <c r="G93" s="5" t="str">
        <f t="shared" si="19"/>
        <v>Ω</v>
      </c>
    </row>
    <row r="94" spans="1:7">
      <c r="A94">
        <v>94</v>
      </c>
      <c r="B94" t="s">
        <v>191</v>
      </c>
      <c r="C94" t="s">
        <v>192</v>
      </c>
      <c r="D94" t="s">
        <v>193</v>
      </c>
      <c r="E94" s="16">
        <f>E93/(E4+1)</f>
        <v>0.36883991208515921</v>
      </c>
      <c r="F94" s="10">
        <f t="shared" si="18"/>
        <v>368.8399120851592</v>
      </c>
      <c r="G94" s="5" t="str">
        <f t="shared" si="19"/>
        <v>Ω</v>
      </c>
    </row>
    <row r="95" spans="1:7">
      <c r="A95">
        <v>95</v>
      </c>
      <c r="B95" t="s">
        <v>194</v>
      </c>
      <c r="D95" t="s">
        <v>195</v>
      </c>
      <c r="E95" s="16">
        <f>E66+E94</f>
        <v>1.2355065787518258</v>
      </c>
      <c r="F95" s="10">
        <f t="shared" si="18"/>
        <v>1.2355065787518258</v>
      </c>
      <c r="G95" s="5" t="str">
        <f t="shared" si="19"/>
        <v>Ω</v>
      </c>
    </row>
    <row r="96" spans="1:7">
      <c r="A96">
        <v>96</v>
      </c>
      <c r="B96" t="s">
        <v>194</v>
      </c>
      <c r="C96" t="s">
        <v>196</v>
      </c>
      <c r="D96" t="s">
        <v>197</v>
      </c>
      <c r="E96" s="16">
        <f>E95+E40</f>
        <v>13.235506578751826</v>
      </c>
      <c r="F96" s="10">
        <f t="shared" si="18"/>
        <v>13.235506578751826</v>
      </c>
      <c r="G96" s="5" t="str">
        <f t="shared" si="19"/>
        <v>Ω</v>
      </c>
    </row>
    <row r="97" spans="1:7">
      <c r="A97">
        <v>97</v>
      </c>
      <c r="B97" t="s">
        <v>198</v>
      </c>
      <c r="C97" t="s">
        <v>199</v>
      </c>
      <c r="D97" t="s">
        <v>200</v>
      </c>
      <c r="E97" s="16">
        <f>(E41*E96)/(E41+E96)</f>
        <v>10.63585304548047</v>
      </c>
      <c r="F97" s="10">
        <f t="shared" si="18"/>
        <v>10.63585304548047</v>
      </c>
      <c r="G97" s="5" t="str">
        <f t="shared" si="19"/>
        <v>Ω</v>
      </c>
    </row>
    <row r="98" spans="1:7">
      <c r="A98">
        <v>98</v>
      </c>
      <c r="B98" t="s">
        <v>201</v>
      </c>
      <c r="C98" s="4" t="s">
        <v>202</v>
      </c>
      <c r="D98" s="13"/>
      <c r="E98" s="17">
        <v>0.1</v>
      </c>
      <c r="F98" s="4"/>
      <c r="G98" s="2" t="s">
        <v>13</v>
      </c>
    </row>
    <row r="99" spans="1:7">
      <c r="A99">
        <v>99</v>
      </c>
      <c r="B99" t="s">
        <v>203</v>
      </c>
      <c r="C99" s="4" t="s">
        <v>204</v>
      </c>
      <c r="D99" s="13"/>
      <c r="E99">
        <f>E15*E98</f>
        <v>50000</v>
      </c>
      <c r="F99" s="4">
        <f>E99/ 10^(MIN(3, INT(LOG10(E99)/3)) * 3)</f>
        <v>50</v>
      </c>
      <c r="G99" s="5" t="str">
        <f>IF(E99&gt;=10^6,"Mhz",IF(E99&gt;=10^3,"Khz","Hz"))</f>
        <v>Khz</v>
      </c>
    </row>
    <row r="100" spans="1:7">
      <c r="A100">
        <v>100</v>
      </c>
      <c r="B100" t="s">
        <v>205</v>
      </c>
      <c r="C100" t="s">
        <v>206</v>
      </c>
      <c r="D100" t="s">
        <v>207</v>
      </c>
      <c r="E100" s="18">
        <f>1/(2*PI()*E99*E90)</f>
        <v>4.7698966367842718E-9</v>
      </c>
      <c r="F100" s="10">
        <f>IF(E100&gt;=1, E100, IF(E100&gt;=0.001, E100*1000, IF(E100&gt;=0.000001, E100*1000000, IF(E100&gt;=0.000000001, E100*1000000000, E100*1000000000000))))</f>
        <v>4.7698966367842717</v>
      </c>
      <c r="G100" s="5" t="str">
        <f>IF(E100&gt;=1, "F", IF(E100&gt;=0.001, "mF", IF(E100&gt;=0.000001, "uF", IF(E100&gt;=0.000000001, "nF", "pF"))))</f>
        <v>nF</v>
      </c>
    </row>
    <row r="101" spans="1:7">
      <c r="A101">
        <v>101</v>
      </c>
      <c r="B101" t="s">
        <v>208</v>
      </c>
      <c r="C101" t="s">
        <v>209</v>
      </c>
      <c r="D101" t="s">
        <v>210</v>
      </c>
      <c r="E101" s="18">
        <f>1/(2*PI()*E99*E91)</f>
        <v>1.0836907656531737E-8</v>
      </c>
      <c r="F101" s="10">
        <f>IF(E101&gt;=1, E101, IF(E101&gt;=0.001, E101*1000, IF(E101&gt;=0.000001, E101*1000000, IF(E101&gt;=0.000000001, E101*1000000000, E101*1000000000000))))</f>
        <v>10.836907656531737</v>
      </c>
      <c r="G101" s="5" t="str">
        <f>IF(E101&gt;=1, "F", IF(E101&gt;=0.001, "mF", IF(E101&gt;=0.000001, "uF", IF(E101&gt;=0.000000001, "nF", "pF"))))</f>
        <v>nF</v>
      </c>
    </row>
    <row r="102" spans="1:7">
      <c r="A102">
        <v>102</v>
      </c>
      <c r="B102" t="s">
        <v>211</v>
      </c>
      <c r="C102" t="s">
        <v>212</v>
      </c>
      <c r="D102" t="s">
        <v>213</v>
      </c>
      <c r="E102" s="18">
        <f>1/(2*PI()*E99*E97)</f>
        <v>2.9928007168080534E-7</v>
      </c>
      <c r="F102" s="10">
        <f>IF(E102&gt;=1, E102, IF(E102&gt;=0.001, E102*1000, IF(E102&gt;=0.000001, E102*1000000, IF(E102&gt;=0.000000001, E102*1000000000, E102*1000000000000))))</f>
        <v>299.28007168080535</v>
      </c>
      <c r="G102" s="5" t="str">
        <f>IF(E102&gt;=1, "F", IF(E102&gt;=0.001, "mF", IF(E102&gt;=0.000001, "uF", IF(E102&gt;=0.000000001, "nF", "pF"))))</f>
        <v>nF</v>
      </c>
    </row>
    <row r="103" spans="1:7">
      <c r="A103">
        <v>103</v>
      </c>
      <c r="B103" t="s">
        <v>214</v>
      </c>
      <c r="E103">
        <f>[1]E24!N3</f>
        <v>4.7</v>
      </c>
      <c r="G103" s="5" t="s">
        <v>215</v>
      </c>
    </row>
    <row r="104" spans="1:7">
      <c r="A104">
        <v>104</v>
      </c>
      <c r="B104" t="s">
        <v>214</v>
      </c>
      <c r="E104">
        <f>[1]E24!N4</f>
        <v>11</v>
      </c>
      <c r="G104" s="5" t="s">
        <v>215</v>
      </c>
    </row>
    <row r="105" spans="1:7">
      <c r="A105">
        <v>105</v>
      </c>
      <c r="B105" t="s">
        <v>214</v>
      </c>
      <c r="E105">
        <f>[1]E24!N5</f>
        <v>300</v>
      </c>
      <c r="G105" s="5" t="s">
        <v>215</v>
      </c>
    </row>
    <row r="106" spans="1:7">
      <c r="A106">
        <v>106</v>
      </c>
      <c r="B106" t="s">
        <v>216</v>
      </c>
      <c r="C106" t="s">
        <v>217</v>
      </c>
      <c r="D106" t="s">
        <v>218</v>
      </c>
      <c r="E106" s="18">
        <f>1/(2*PI()*E103*E90*10^-9)</f>
        <v>50743.581242385852</v>
      </c>
      <c r="F106" s="10">
        <f>E106/ 10^(MIN(3, INT(LOG10(E106)/3)) * 3)</f>
        <v>50.743581242385851</v>
      </c>
      <c r="G106" s="5" t="str">
        <f>IF(E106&gt;=10^6,"Mhz",IF(E106&gt;=10^3,"Khz","Hz"))</f>
        <v>Khz</v>
      </c>
    </row>
    <row r="107" spans="1:7">
      <c r="A107">
        <v>107</v>
      </c>
      <c r="B107" t="s">
        <v>219</v>
      </c>
      <c r="C107" t="s">
        <v>220</v>
      </c>
      <c r="D107" t="s">
        <v>221</v>
      </c>
      <c r="E107" s="18">
        <f>1/(2*PI()*E104*E91*10^-9)</f>
        <v>49258.671166053355</v>
      </c>
      <c r="F107" s="10">
        <f t="shared" ref="F107:F108" si="20">E107/ 10^(MIN(3, INT(LOG10(E107)/3)) * 3)</f>
        <v>49.258671166053354</v>
      </c>
      <c r="G107" s="5" t="str">
        <f t="shared" ref="G107:G108" si="21">IF(E107&gt;=10^6,"Mhz",IF(E107&gt;=10^3,"Khz","Hz"))</f>
        <v>Khz</v>
      </c>
    </row>
    <row r="108" spans="1:7">
      <c r="A108">
        <v>108</v>
      </c>
      <c r="B108" t="s">
        <v>222</v>
      </c>
      <c r="C108" t="s">
        <v>223</v>
      </c>
      <c r="D108" t="s">
        <v>224</v>
      </c>
      <c r="E108" s="18">
        <f>1/(2*PI()*E105*E97*10^-9)</f>
        <v>49880.011946800892</v>
      </c>
      <c r="F108" s="10">
        <f t="shared" si="20"/>
        <v>49.880011946800892</v>
      </c>
      <c r="G108" s="5" t="str">
        <f t="shared" si="21"/>
        <v>Khz</v>
      </c>
    </row>
    <row r="109" spans="1:7" ht="18.5">
      <c r="A109">
        <v>109</v>
      </c>
      <c r="B109" s="3" t="s">
        <v>225</v>
      </c>
      <c r="C109" s="3"/>
      <c r="D109" s="3"/>
      <c r="E109" s="3"/>
      <c r="F109" s="3"/>
      <c r="G109" s="3"/>
    </row>
    <row r="110" spans="1:7">
      <c r="A110">
        <v>110</v>
      </c>
      <c r="B110" t="s">
        <v>226</v>
      </c>
      <c r="C110" t="s">
        <v>227</v>
      </c>
      <c r="E110" s="16">
        <f>E69</f>
        <v>1658.9333333333334</v>
      </c>
      <c r="F110" s="10">
        <f t="shared" ref="F110:F112" si="22">E110/ 10^(MIN(3, INT(LOG10(E110)/3)) * 3)</f>
        <v>1.6589333333333334</v>
      </c>
      <c r="G110" s="5" t="str">
        <f t="shared" ref="G110:G112" si="23">IF(E110&gt;=10^6,"MΩ",IF(E110&gt;=10^3,"KΩ","Ω"))</f>
        <v>KΩ</v>
      </c>
    </row>
    <row r="111" spans="1:7">
      <c r="A111">
        <v>111</v>
      </c>
      <c r="B111" t="s">
        <v>140</v>
      </c>
      <c r="C111" t="s">
        <v>187</v>
      </c>
      <c r="D111" t="s">
        <v>188</v>
      </c>
      <c r="E111" s="16">
        <f>E92</f>
        <v>983.20670942279253</v>
      </c>
      <c r="F111" s="10">
        <f t="shared" si="22"/>
        <v>983.20670942279253</v>
      </c>
      <c r="G111" s="5" t="str">
        <f t="shared" si="23"/>
        <v>Ω</v>
      </c>
    </row>
    <row r="112" spans="1:7">
      <c r="A112">
        <v>112</v>
      </c>
      <c r="B112" t="s">
        <v>228</v>
      </c>
      <c r="D112" t="s">
        <v>229</v>
      </c>
      <c r="E112" s="16">
        <f>(E110*E111)/(E110+E111)</f>
        <v>617.33078391901211</v>
      </c>
      <c r="F112" s="10">
        <f t="shared" si="22"/>
        <v>617.33078391901211</v>
      </c>
      <c r="G112" s="5" t="str">
        <f t="shared" si="23"/>
        <v>Ω</v>
      </c>
    </row>
    <row r="113" spans="1:7">
      <c r="A113">
        <v>113</v>
      </c>
      <c r="B113" t="s">
        <v>230</v>
      </c>
      <c r="E113" s="16">
        <v>1</v>
      </c>
      <c r="F113" s="10">
        <f>E113/ 10^(MIN(3, INT(LOG10(ABS(E113))/3)) * 3)</f>
        <v>1</v>
      </c>
      <c r="G113" s="5" t="str">
        <f>IF(ABS(E113)&gt;=1, "V", IF(ABS(E113)&gt;=0.001, "mV", IF(ABS(E113)&gt;=0.000001, "uV", IF(ABS(E113)&gt;=0.000000001, "nV", "pV"))))</f>
        <v>V</v>
      </c>
    </row>
    <row r="114" spans="1:7">
      <c r="A114">
        <v>114</v>
      </c>
      <c r="B114" t="s">
        <v>231</v>
      </c>
      <c r="D114" t="s">
        <v>232</v>
      </c>
      <c r="E114" s="16">
        <f>(E113*E112)/(E13+E112)</f>
        <v>0.92507463883747931</v>
      </c>
      <c r="F114" s="10">
        <f>E114/ 10^(MIN(3, INT(LOG10(ABS(E114))/3)) * 3)</f>
        <v>925.07463883747926</v>
      </c>
      <c r="G114" s="5" t="str">
        <f>IF(ABS(E114)&gt;=1, "V", IF(ABS(E114)&gt;=0.001, "mV", IF(ABS(E114)&gt;=0.000001, "uV", IF(ABS(E114)&gt;=0.000000001, "nV", "pV"))))</f>
        <v>mV</v>
      </c>
    </row>
    <row r="115" spans="1:7">
      <c r="A115">
        <v>115</v>
      </c>
      <c r="B115" t="s">
        <v>233</v>
      </c>
      <c r="C115" t="s">
        <v>234</v>
      </c>
      <c r="D115" t="s">
        <v>235</v>
      </c>
      <c r="E115" s="16">
        <f>1/((1/E42)+(1/E70))</f>
        <v>243.72759856630827</v>
      </c>
      <c r="F115" s="10">
        <f>E115/ 10^(MIN(3, INT(LOG10(E115)/3)) * 3)</f>
        <v>243.72759856630827</v>
      </c>
      <c r="G115" s="5" t="str">
        <f t="shared" ref="G115:G116" si="24">IF(E115&gt;=10^6,"MΩ",IF(E115&gt;=10^3,"KΩ","Ω"))</f>
        <v>Ω</v>
      </c>
    </row>
    <row r="116" spans="1:7">
      <c r="A116">
        <v>116</v>
      </c>
      <c r="B116" t="s">
        <v>236</v>
      </c>
      <c r="D116" t="s">
        <v>237</v>
      </c>
      <c r="E116" s="16">
        <f>(E42*E12)/(E42+E12)</f>
        <v>42.105263157894733</v>
      </c>
      <c r="F116" s="10">
        <f t="shared" ref="F116" si="25">E116/ 10^(MIN(3, INT(LOG10(E116)/3)) * 3)</f>
        <v>42.105263157894733</v>
      </c>
      <c r="G116" s="5" t="str">
        <f t="shared" si="24"/>
        <v>Ω</v>
      </c>
    </row>
    <row r="117" spans="1:7">
      <c r="A117">
        <v>117</v>
      </c>
      <c r="B117" t="s">
        <v>238</v>
      </c>
      <c r="C117" t="s">
        <v>239</v>
      </c>
      <c r="D117" s="13" t="s">
        <v>240</v>
      </c>
      <c r="E117" s="16">
        <f>(-E65*E116)/(1+E65*E40*(1+1/E4))</f>
        <v>-3.248758449733077</v>
      </c>
      <c r="F117" s="16"/>
      <c r="G117" s="2"/>
    </row>
    <row r="118" spans="1:7">
      <c r="A118">
        <v>118</v>
      </c>
      <c r="B118" t="s">
        <v>241</v>
      </c>
      <c r="D118" t="s">
        <v>242</v>
      </c>
      <c r="E118" s="16">
        <f>E114*E117</f>
        <v>-3.0053440495570354</v>
      </c>
      <c r="F118" s="10">
        <f>E118/ 10^(MIN(3, INT(LOG10(ABS(E118))/3)) * 3)</f>
        <v>-3.0053440495570354</v>
      </c>
      <c r="G118" s="5" t="str">
        <f>IF(ABS(E118)&gt;=1, "V", IF(ABS(E118)&gt;=0.001, "mV", IF(ABS(E118)&gt;=0.000001, "uV", IF(ABS(E118)&gt;=0.000000001, "nV", "pV"))))</f>
        <v>V</v>
      </c>
    </row>
    <row r="119" spans="1:7">
      <c r="A119">
        <v>119</v>
      </c>
      <c r="B119" t="s">
        <v>241</v>
      </c>
      <c r="D119" t="s">
        <v>243</v>
      </c>
      <c r="E119" s="16">
        <f>(E113*E112)/(E13+E112)*E117</f>
        <v>-3.0053440495570354</v>
      </c>
      <c r="F119" s="10">
        <f>E119/ 10^(MIN(3, INT(LOG10(ABS(E119))/3)) * 3)</f>
        <v>-3.0053440495570354</v>
      </c>
      <c r="G119" s="5" t="str">
        <f>IF(ABS(E119)&gt;=1, "V", IF(ABS(E119)&gt;=0.001, "mV", IF(ABS(E119)&gt;=0.000001, "uV", IF(ABS(E119)&gt;=0.000000001, "nV", "pV"))))</f>
        <v>V</v>
      </c>
    </row>
    <row r="120" spans="1:7">
      <c r="A120">
        <v>120</v>
      </c>
      <c r="B120" t="s">
        <v>244</v>
      </c>
      <c r="C120" t="s">
        <v>245</v>
      </c>
      <c r="D120" t="s">
        <v>246</v>
      </c>
      <c r="E120" s="16">
        <f>E3*(E19+E23)</f>
        <v>0.65156250000000004</v>
      </c>
      <c r="F120" s="10">
        <f>E120/ 10^(MIN(3, INT(LOG10(E120)/3)) * 3)</f>
        <v>651.5625</v>
      </c>
      <c r="G120" s="5" t="str">
        <f>IF(E120&gt;=1, "W", IF(E120&gt;=0.001, "mW", IF(E120&gt;=0.000001, "uW", IF(E120&gt;=0.000000001, "nW", "pW"))))</f>
        <v>mW</v>
      </c>
    </row>
    <row r="121" spans="1:7" ht="18.5">
      <c r="A121">
        <v>121</v>
      </c>
      <c r="B121" s="3" t="s">
        <v>247</v>
      </c>
      <c r="C121" s="3"/>
      <c r="D121" s="3"/>
      <c r="E121" s="3"/>
      <c r="F121" s="3"/>
      <c r="G121" s="3"/>
    </row>
    <row r="122" spans="1:7">
      <c r="A122">
        <v>122</v>
      </c>
      <c r="B122" t="s">
        <v>248</v>
      </c>
      <c r="C122" t="s">
        <v>249</v>
      </c>
      <c r="D122" t="s">
        <v>250</v>
      </c>
      <c r="E122">
        <f>E28*E19</f>
        <v>0.3</v>
      </c>
      <c r="F122" s="10">
        <f>E122/ 10^(MIN(3, INT(LOG10(E122)/3)) * 3)</f>
        <v>300</v>
      </c>
      <c r="G122" s="5" t="str">
        <f>IF(E122&gt;=1, "W", IF(E122&gt;=0.001, "mW", IF(E122&gt;=0.000001, "uW", IF(E122&gt;=0.000000001, "nW", "pW"))))</f>
        <v>mW</v>
      </c>
    </row>
    <row r="123" spans="1:7">
      <c r="A123">
        <v>123</v>
      </c>
      <c r="G123" s="2"/>
    </row>
    <row r="124" spans="1:7">
      <c r="A124">
        <v>124</v>
      </c>
      <c r="B124" t="s">
        <v>251</v>
      </c>
      <c r="C124" t="s">
        <v>252</v>
      </c>
      <c r="D124" t="s">
        <v>253</v>
      </c>
      <c r="E124">
        <f>(E3-E17)/(E42+E39)</f>
        <v>5.9191770186335396E-2</v>
      </c>
      <c r="F124" s="10">
        <f>E124/ 10^(MIN(3, INT(LOG10(E124)/3)) * 3)</f>
        <v>59.191770186335397</v>
      </c>
      <c r="G124" s="5" t="str">
        <f t="shared" ref="G124" si="26">IF(E124&gt;=1, "A", IF(E124&gt;=0.001, "mA", IF(E124&gt;=0.000001, "uA", IF(E124&gt;=0.000000001, "nA", "pA"))))</f>
        <v>mA</v>
      </c>
    </row>
    <row r="125" spans="1:7">
      <c r="A125">
        <v>125</v>
      </c>
      <c r="B125" t="s">
        <v>254</v>
      </c>
      <c r="C125" t="s">
        <v>255</v>
      </c>
      <c r="D125" t="s">
        <v>256</v>
      </c>
      <c r="E125" s="18">
        <v>3.9999999999999999E-12</v>
      </c>
      <c r="F125" s="10">
        <f>IF(E125&gt;=1, E125, IF(E125&gt;=0.001, E125*1000, IF(E125&gt;=0.000001, E125*1000000, IF(E125&gt;=0.000000001, E125*1000000000, E125*1000000000000))))</f>
        <v>4</v>
      </c>
      <c r="G125" s="5" t="str">
        <f>IF(E125&gt;=1, "F", IF(E125&gt;=0.001, "mF", IF(E125&gt;=0.000001, "uF", IF(E125&gt;=0.000000001, "nF", "pF"))))</f>
        <v>pF</v>
      </c>
    </row>
    <row r="126" spans="1:7">
      <c r="A126">
        <v>126</v>
      </c>
      <c r="B126" t="s">
        <v>257</v>
      </c>
      <c r="C126" t="s">
        <v>258</v>
      </c>
      <c r="E126" s="18">
        <f>E128-E125</f>
        <v>1.2670485334675227E-10</v>
      </c>
      <c r="F126" s="10">
        <f>IF(E126&gt;=1, E126, IF(E126&gt;=0.001, E126*1000, IF(E126&gt;=0.000001, E126*1000000, IF(E126&gt;=0.000000001, E126*1000000000, E126*1000000000000))))</f>
        <v>126.70485334675227</v>
      </c>
      <c r="G126" s="5" t="str">
        <f>IF(E126&gt;=1, "F", IF(E126&gt;=0.001, "mF", IF(E126&gt;=0.000001, "uF", IF(E126&gt;=0.000000001, "nF", "pF"))))</f>
        <v>pF</v>
      </c>
    </row>
    <row r="127" spans="1:7">
      <c r="A127">
        <v>127</v>
      </c>
      <c r="B127" t="s">
        <v>259</v>
      </c>
      <c r="C127" t="s">
        <v>260</v>
      </c>
      <c r="E127" s="18">
        <v>1405000000</v>
      </c>
      <c r="F127" s="19">
        <f>E127/ 10^(MIN(3, INT(LOG10(E127)/3)) * 3)</f>
        <v>1.405</v>
      </c>
      <c r="G127" s="5" t="str">
        <f>IF(E127&gt;=10^6,"Mhz",IF(E127&gt;=10^3,"Khz","Hz"))</f>
        <v>Mhz</v>
      </c>
    </row>
    <row r="128" spans="1:7">
      <c r="A128">
        <v>128</v>
      </c>
      <c r="B128" t="s">
        <v>261</v>
      </c>
      <c r="E128" s="18">
        <f>E65/(2*PI()*E127)</f>
        <v>1.3070485334675228E-10</v>
      </c>
      <c r="F128" s="10">
        <f>IF(E128&gt;=1, E128, IF(E128&gt;=0.001, E128*1000, IF(E128&gt;=0.000001, E128*1000000, IF(E128&gt;=0.000000001, E128*1000000000, E128*1000000000000))))</f>
        <v>130.70485334675229</v>
      </c>
      <c r="G128" s="5" t="str">
        <f>IF(E128&gt;=1, "F", IF(E128&gt;=0.001, "mF", IF(E128&gt;=0.000001, "uF", IF(E128&gt;=0.000000001, "nF", "pF"))))</f>
        <v>pF</v>
      </c>
    </row>
    <row r="129" spans="1:7">
      <c r="A129">
        <v>129</v>
      </c>
      <c r="F129" s="4"/>
      <c r="G129" s="2"/>
    </row>
    <row r="130" spans="1:7">
      <c r="A130">
        <v>130</v>
      </c>
      <c r="B130" t="s">
        <v>262</v>
      </c>
      <c r="C130" t="s">
        <v>263</v>
      </c>
      <c r="D130" t="s">
        <v>264</v>
      </c>
      <c r="E130" s="18">
        <f>E125*(1-E117)</f>
        <v>1.6995033798932309E-11</v>
      </c>
      <c r="F130" s="10">
        <f>IF(E130&gt;=1, E130, IF(E130&gt;=0.001, E130*1000, IF(E130&gt;=0.000001, E130*1000000, IF(E130&gt;=0.000000001, E130*1000000000, E130*1000000000000))))</f>
        <v>16.995033798932308</v>
      </c>
      <c r="G130" s="5" t="str">
        <f>IF(E130&gt;=1, "F", IF(E130&gt;=0.001, "mF", IF(E130&gt;=0.000001, "uF", IF(E130&gt;=0.000000001, "nF", "pF"))))</f>
        <v>pF</v>
      </c>
    </row>
    <row r="131" spans="1:7">
      <c r="A131">
        <v>131</v>
      </c>
      <c r="B131" t="s">
        <v>265</v>
      </c>
      <c r="C131" t="s">
        <v>266</v>
      </c>
      <c r="E131">
        <v>1.6E-11</v>
      </c>
      <c r="F131" s="10">
        <f>[1]E24!N6</f>
        <v>16</v>
      </c>
      <c r="G131" s="5" t="str">
        <f>IF(E131&gt;=1, "F", IF(E131&gt;=0.001, "mF", IF(E131&gt;=0.000001, "uF", IF(E131&gt;=0.000000001, "nF", "pF"))))</f>
        <v>pF</v>
      </c>
    </row>
    <row r="132" spans="1:7">
      <c r="A132">
        <v>132</v>
      </c>
      <c r="B132" t="s">
        <v>267</v>
      </c>
      <c r="C132" t="s">
        <v>268</v>
      </c>
      <c r="D132" t="s">
        <v>269</v>
      </c>
      <c r="E132" s="18">
        <f>E126+E131</f>
        <v>1.4270485334675226E-10</v>
      </c>
      <c r="F132" s="10">
        <f>IF(E132&gt;=1, E132, IF(E132&gt;=0.001, E132*1000, IF(E132&gt;=0.000001, E132*1000000, IF(E132&gt;=0.000000001, E132*1000000000, E132*1000000000000))))</f>
        <v>142.70485334675226</v>
      </c>
      <c r="G132" s="5" t="str">
        <f>IF(E132&gt;=1, "F", IF(E132&gt;=0.001, "mF", IF(E132&gt;=0.000001, "uF", IF(E132&gt;=0.000000001, "nF", "pF"))))</f>
        <v>pF</v>
      </c>
    </row>
    <row r="133" spans="1:7">
      <c r="A133">
        <v>133</v>
      </c>
      <c r="B133" t="s">
        <v>270</v>
      </c>
      <c r="D133" t="s">
        <v>271</v>
      </c>
      <c r="E133">
        <f>(E13*E112)/(E13+E112)</f>
        <v>46.253731941873966</v>
      </c>
      <c r="F133" s="10">
        <f t="shared" ref="F133" si="27">E133/ 10^(MIN(3, INT(LOG10(E133)/3)) * 3)</f>
        <v>46.253731941873966</v>
      </c>
      <c r="G133" s="5" t="str">
        <f t="shared" ref="G133:G135" si="28">IF(E133&gt;=10^6,"MΩ",IF(E133&gt;=10^3,"KΩ","Ω"))</f>
        <v>Ω</v>
      </c>
    </row>
    <row r="134" spans="1:7">
      <c r="A134">
        <v>134</v>
      </c>
      <c r="B134" t="s">
        <v>272</v>
      </c>
      <c r="C134" t="s">
        <v>273</v>
      </c>
      <c r="D134" s="20" t="s">
        <v>274</v>
      </c>
      <c r="E134" s="18">
        <f>1/(2*PI()*E133*E132)</f>
        <v>24112076.280576993</v>
      </c>
      <c r="F134" s="19">
        <f>E134/ 10^(MIN(3, INT(LOG10(E134)/3)) * 3)</f>
        <v>24.112076280576993</v>
      </c>
      <c r="G134" s="5" t="str">
        <f>IF(E134&gt;=10^6,"Mhz",IF(E134&gt;=10^3,"Khz","Hz"))</f>
        <v>Mhz</v>
      </c>
    </row>
    <row r="135" spans="1:7">
      <c r="A135">
        <v>135</v>
      </c>
      <c r="B135" t="s">
        <v>275</v>
      </c>
      <c r="C135" t="s">
        <v>276</v>
      </c>
      <c r="D135" t="s">
        <v>277</v>
      </c>
      <c r="E135">
        <f>1/((1/E42)+(1/E70)+(1/E12))</f>
        <v>41.488712629652227</v>
      </c>
      <c r="F135" s="19">
        <f>E135/ 10^(MIN(3, INT(LOG10(E135)/3)) * 3)</f>
        <v>41.488712629652227</v>
      </c>
      <c r="G135" s="5" t="str">
        <f t="shared" si="28"/>
        <v>Ω</v>
      </c>
    </row>
    <row r="136" spans="1:7">
      <c r="A136">
        <v>136</v>
      </c>
      <c r="B136" t="s">
        <v>278</v>
      </c>
      <c r="C136" t="s">
        <v>279</v>
      </c>
      <c r="D136" t="s">
        <v>280</v>
      </c>
      <c r="E136">
        <f>(E5*E135)^2/(2*E13)</f>
        <v>1.5491819480992779E-2</v>
      </c>
      <c r="F136" s="10">
        <f>E136/ 10^(MIN(3, INT(LOG10(E136)/3)) * 3)</f>
        <v>15.491819480992779</v>
      </c>
      <c r="G136" s="5" t="str">
        <f>IF(E136&gt;=1, "W", IF(E136&gt;=0.001, "mW", IF(E136&gt;=0.000001, "uW", IF(E136&gt;=0.000000001, "nW", "pW"))))</f>
        <v>mW</v>
      </c>
    </row>
  </sheetData>
  <mergeCells count="10">
    <mergeCell ref="B84:G84"/>
    <mergeCell ref="B89:G89"/>
    <mergeCell ref="B109:G109"/>
    <mergeCell ref="B121:G121"/>
    <mergeCell ref="B2:G2"/>
    <mergeCell ref="B18:G18"/>
    <mergeCell ref="B49:G49"/>
    <mergeCell ref="B54:G54"/>
    <mergeCell ref="B64:G64"/>
    <mergeCell ref="B75:G75"/>
  </mergeCells>
  <hyperlinks>
    <hyperlink ref="A1" location="Menu!A1" display="Menu!A1"/>
  </hyperlink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Revertegat</dc:creator>
  <cp:lastModifiedBy>Dominique Revertegat</cp:lastModifiedBy>
  <dcterms:created xsi:type="dcterms:W3CDTF">2026-10-02T18:01:21Z</dcterms:created>
  <dcterms:modified xsi:type="dcterms:W3CDTF">2026-10-02T18:02:20Z</dcterms:modified>
</cp:coreProperties>
</file>